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name="Scoreboard" sheetId="1" state="visible" r:id="rId1"/>
    <sheet name="Weekly Model Ranges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\-mm\-dd"/>
  </numFmts>
  <fonts count="13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1F3864"/>
      <sz val="14"/>
    </font>
    <font>
      <name val="Arial"/>
      <family val="2"/>
      <i val="1"/>
      <color rgb="FF595959"/>
      <sz val="9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9C0006"/>
      <sz val="10"/>
    </font>
    <font>
      <name val="Arial"/>
      <family val="2"/>
      <color rgb="FF595959"/>
      <sz val="9"/>
    </font>
    <font>
      <name val="Arial"/>
      <family val="2"/>
      <b val="1"/>
      <color rgb="FF1F3864"/>
      <sz val="13"/>
    </font>
    <font>
      <name val="Arial"/>
      <family val="2"/>
      <b val="1"/>
      <color rgb="FF333333"/>
      <sz val="9"/>
    </font>
    <font>
      <name val="Arial"/>
      <family val="2"/>
      <color rgb="FF595959"/>
      <sz val="10"/>
    </font>
  </fonts>
  <fills count="10">
    <fill>
      <patternFill/>
    </fill>
    <fill>
      <patternFill patternType="gray125"/>
    </fill>
    <fill>
      <patternFill patternType="solid">
        <fgColor rgb="FF8EAADB"/>
        <bgColor rgb="FF969696"/>
      </patternFill>
    </fill>
    <fill>
      <patternFill patternType="solid">
        <fgColor rgb="FF1F3864"/>
        <bgColor rgb="FF333333"/>
      </patternFill>
    </fill>
    <fill>
      <patternFill patternType="solid">
        <fgColor rgb="FFD9D9D9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E2EFDA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1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center" vertical="center" wrapText="1"/>
    </xf>
    <xf numFmtId="4" fontId="7" fillId="4" borderId="1" applyAlignment="1" pivotButton="0" quotePrefix="0" xfId="0">
      <alignment horizontal="center" vertical="center" wrapText="1"/>
    </xf>
    <xf numFmtId="4" fontId="7" fillId="5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4" fontId="7" fillId="7" borderId="1" applyAlignment="1" pivotButton="0" quotePrefix="0" xfId="0">
      <alignment horizontal="center" vertical="center" wrapText="1"/>
    </xf>
    <xf numFmtId="4" fontId="7" fillId="8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dxfs count="2">
    <dxf>
      <font>
        <name val="Arial"/>
        <charset val="1"/>
        <b val="1"/>
        <color rgb="FF9C0006"/>
      </font>
      <fill>
        <patternFill>
          <bgColor rgb="FFFFC7CE"/>
        </patternFill>
      </fill>
    </dxf>
    <dxf>
      <font>
        <name val="Arial"/>
        <charset val="1"/>
        <b val="1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8EAADB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F2F2F2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HAR Forward Test</author>
  </authors>
  <commentList>
    <comment ref="G6" authorId="0" shapeId="0">
      <text>
        <t>Lower PI — tightest model band (richest credit, lowest hit rate). Low = put_short, High = call_short from the Spread Finder 'Lower PI' tier.</t>
      </text>
    </comment>
    <comment ref="I6" authorId="0" shapeId="0">
      <text>
        <t>Point Estimate — HAR point forecast. Low = put_short, High = call_short from the 'Point Estimate' tier.</t>
      </text>
    </comment>
    <comment ref="K6" authorId="0" shapeId="0">
      <text>
        <t>80% PI Upper — wide end of the 80% prediction interval. Low = put_short, High = call_short from the '80% PI Upper' tier.</t>
      </text>
    </comment>
    <comment ref="M6" authorId="0" shapeId="0">
      <text>
        <t>Effective (+buffer) — PI + event/GEX buffer; your actual condor. Low = put_short, High = call_short from the 'Effective (+buffer)' tier.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tabSelected="1" zoomScaleNormal="100" workbookViewId="0">
      <selection activeCell="B21" sqref="B21"/>
    </sheetView>
  </sheetViews>
  <sheetFormatPr baseColWidth="8" defaultColWidth="8.7109375" defaultRowHeight="15"/>
  <cols>
    <col width="13" customWidth="1" min="1" max="1"/>
    <col width="10" customWidth="1" min="2" max="2"/>
    <col width="9" customWidth="1" min="3" max="9"/>
  </cols>
  <sheetData>
    <row r="1" ht="17.45" customHeight="1">
      <c r="A1" s="12" t="inlineStr">
        <is>
          <t>MODEL SCOREBOARD</t>
        </is>
      </c>
      <c r="B1" s="34" t="n"/>
      <c r="C1" s="34" t="n"/>
      <c r="D1" s="34" t="n"/>
      <c r="E1" s="34" t="n"/>
      <c r="F1" s="34" t="n"/>
      <c r="G1" s="34" t="n"/>
      <c r="H1" s="34" t="n"/>
      <c r="I1" s="35" t="n"/>
    </row>
    <row r="2" ht="32.85" customHeight="1">
      <c r="A2" s="11" t="inlineStr">
        <is>
          <t>Close-in-range hit rate for each model variant, per instrument. The point of splitting by model: see which gives the best edge-vs-width tradeoff. Lower PI is tightest (highest credit, lowest hit rate); Effective is widest (lowest credit, highest hit rate).</t>
        </is>
      </c>
      <c r="B2" s="34" t="n"/>
      <c r="C2" s="34" t="n"/>
      <c r="D2" s="34" t="n"/>
      <c r="E2" s="34" t="n"/>
      <c r="F2" s="34" t="n"/>
      <c r="G2" s="34" t="n"/>
      <c r="H2" s="34" t="n"/>
      <c r="I2" s="35" t="n"/>
    </row>
    <row r="4" ht="15" customHeight="1">
      <c r="A4" s="10" t="inlineStr">
        <is>
          <t>WEEKLY HAR</t>
        </is>
      </c>
      <c r="B4" s="34" t="n"/>
      <c r="C4" s="34" t="n"/>
      <c r="D4" s="34" t="n"/>
      <c r="E4" s="34" t="n"/>
      <c r="F4" s="34" t="n"/>
      <c r="G4" s="34" t="n"/>
      <c r="H4" s="34" t="n"/>
      <c r="I4" s="35" t="n"/>
    </row>
    <row r="5" ht="27.75" customHeight="1">
      <c r="A5" s="13" t="inlineStr">
        <is>
          <t>Instrument</t>
        </is>
      </c>
      <c r="B5" s="13" t="inlineStr">
        <is>
          <t>Weeks
Scored</t>
        </is>
      </c>
      <c r="C5" s="13" t="inlineStr">
        <is>
          <t>Lower PI
Hit%</t>
        </is>
      </c>
      <c r="D5" s="13" t="inlineStr">
        <is>
          <t>Point
Hit%</t>
        </is>
      </c>
      <c r="E5" s="13" t="inlineStr">
        <is>
          <t>80% PI
Hit%</t>
        </is>
      </c>
      <c r="F5" s="13" t="inlineStr">
        <is>
          <t>Eff
Hit%</t>
        </is>
      </c>
    </row>
    <row r="6">
      <c r="A6" s="14" t="inlineStr">
        <is>
          <t>SPX</t>
        </is>
      </c>
      <c r="B6" s="15">
        <f>COUNTIFS('Weekly Model Ranges'!$B$6:$B$53,A6,'Weekly Model Ranges'!$Q$6:$Q$53,TRUE())+COUNTIFS('Weekly Model Ranges'!$B$6:$B$53,A6,'Weekly Model Ranges'!$Q$6:$Q$53,FALSE())</f>
        <v/>
      </c>
      <c r="C6" s="16">
        <f>IF((COUNTIFS('Weekly Model Ranges'!$B$6:$B$53,A6,'Weekly Model Ranges'!$O$6:$O$53,TRUE())+COUNTIFS('Weekly Model Ranges'!$B$6:$B$53,A6,'Weekly Model Ranges'!$O$6:$O$53,FALSE()))=0,"",COUNTIFS('Weekly Model Ranges'!$B$6:$B$53,A6,'Weekly Model Ranges'!$O$6:$O$53,TRUE())/(COUNTIFS('Weekly Model Ranges'!$B$6:$B$53,A6,'Weekly Model Ranges'!$O$6:$O$53,TRUE())+COUNTIFS('Weekly Model Ranges'!$B$6:$B$53,A6,'Weekly Model Ranges'!$O$6:$O$53,FALSE())))</f>
        <v/>
      </c>
      <c r="D6" s="16">
        <f>IF((COUNTIFS('Weekly Model Ranges'!$B$6:$B$53,A6,'Weekly Model Ranges'!$P$6:$P$53,TRUE())+COUNTIFS('Weekly Model Ranges'!$B$6:$B$53,A6,'Weekly Model Ranges'!$P$6:$P$53,FALSE()))=0,"",COUNTIFS('Weekly Model Ranges'!$B$6:$B$53,A6,'Weekly Model Ranges'!$P$6:$P$53,TRUE())/(COUNTIFS('Weekly Model Ranges'!$B$6:$B$53,A6,'Weekly Model Ranges'!$P$6:$P$53,TRUE())+COUNTIFS('Weekly Model Ranges'!$B$6:$B$53,A6,'Weekly Model Ranges'!$P$6:$P$53,FALSE())))</f>
        <v/>
      </c>
      <c r="E6" s="17">
        <f>IF((COUNTIFS('Weekly Model Ranges'!$B$6:$B$53,A6,'Weekly Model Ranges'!$Q$6:$Q$53,TRUE())+COUNTIFS('Weekly Model Ranges'!$B$6:$B$53,A6,'Weekly Model Ranges'!$Q$6:$Q$53,FALSE()))=0,"",COUNTIFS('Weekly Model Ranges'!$B$6:$B$53,A6,'Weekly Model Ranges'!$Q$6:$Q$53,TRUE())/(COUNTIFS('Weekly Model Ranges'!$B$6:$B$53,A6,'Weekly Model Ranges'!$Q$6:$Q$53,TRUE())+COUNTIFS('Weekly Model Ranges'!$B$6:$B$53,A6,'Weekly Model Ranges'!$Q$6:$Q$53,FALSE())))</f>
        <v/>
      </c>
      <c r="F6" s="16">
        <f>IF((COUNTIFS('Weekly Model Ranges'!$B$6:$B$53,A6,'Weekly Model Ranges'!$R$6:$R$53,TRUE())+COUNTIFS('Weekly Model Ranges'!$B$6:$B$53,A6,'Weekly Model Ranges'!$R$6:$R$53,FALSE()))=0,"",COUNTIFS('Weekly Model Ranges'!$B$6:$B$53,A6,'Weekly Model Ranges'!$R$6:$R$53,TRUE())/(COUNTIFS('Weekly Model Ranges'!$B$6:$B$53,A6,'Weekly Model Ranges'!$R$6:$R$53,TRUE())+COUNTIFS('Weekly Model Ranges'!$B$6:$B$53,A6,'Weekly Model Ranges'!$R$6:$R$53,FALSE())))</f>
        <v/>
      </c>
    </row>
    <row r="7">
      <c r="A7" s="14" t="inlineStr">
        <is>
          <t>QQQ</t>
        </is>
      </c>
      <c r="B7" s="15">
        <f>COUNTIFS('Weekly Model Ranges'!$B$6:$B$53,A7,'Weekly Model Ranges'!$Q$6:$Q$53,TRUE())+COUNTIFS('Weekly Model Ranges'!$B$6:$B$53,A7,'Weekly Model Ranges'!$Q$6:$Q$53,FALSE())</f>
        <v/>
      </c>
      <c r="C7" s="16">
        <f>IF((COUNTIFS('Weekly Model Ranges'!$B$6:$B$53,A7,'Weekly Model Ranges'!$O$6:$O$53,TRUE())+COUNTIFS('Weekly Model Ranges'!$B$6:$B$53,A7,'Weekly Model Ranges'!$O$6:$O$53,FALSE()))=0,"",COUNTIFS('Weekly Model Ranges'!$B$6:$B$53,A7,'Weekly Model Ranges'!$O$6:$O$53,TRUE())/(COUNTIFS('Weekly Model Ranges'!$B$6:$B$53,A7,'Weekly Model Ranges'!$O$6:$O$53,TRUE())+COUNTIFS('Weekly Model Ranges'!$B$6:$B$53,A7,'Weekly Model Ranges'!$O$6:$O$53,FALSE())))</f>
        <v/>
      </c>
      <c r="D7" s="16">
        <f>IF((COUNTIFS('Weekly Model Ranges'!$B$6:$B$53,A7,'Weekly Model Ranges'!$P$6:$P$53,TRUE())+COUNTIFS('Weekly Model Ranges'!$B$6:$B$53,A7,'Weekly Model Ranges'!$P$6:$P$53,FALSE()))=0,"",COUNTIFS('Weekly Model Ranges'!$B$6:$B$53,A7,'Weekly Model Ranges'!$P$6:$P$53,TRUE())/(COUNTIFS('Weekly Model Ranges'!$B$6:$B$53,A7,'Weekly Model Ranges'!$P$6:$P$53,TRUE())+COUNTIFS('Weekly Model Ranges'!$B$6:$B$53,A7,'Weekly Model Ranges'!$P$6:$P$53,FALSE())))</f>
        <v/>
      </c>
      <c r="E7" s="17">
        <f>IF((COUNTIFS('Weekly Model Ranges'!$B$6:$B$53,A7,'Weekly Model Ranges'!$Q$6:$Q$53,TRUE())+COUNTIFS('Weekly Model Ranges'!$B$6:$B$53,A7,'Weekly Model Ranges'!$Q$6:$Q$53,FALSE()))=0,"",COUNTIFS('Weekly Model Ranges'!$B$6:$B$53,A7,'Weekly Model Ranges'!$Q$6:$Q$53,TRUE())/(COUNTIFS('Weekly Model Ranges'!$B$6:$B$53,A7,'Weekly Model Ranges'!$Q$6:$Q$53,TRUE())+COUNTIFS('Weekly Model Ranges'!$B$6:$B$53,A7,'Weekly Model Ranges'!$Q$6:$Q$53,FALSE())))</f>
        <v/>
      </c>
      <c r="F7" s="16">
        <f>IF((COUNTIFS('Weekly Model Ranges'!$B$6:$B$53,A7,'Weekly Model Ranges'!$R$6:$R$53,TRUE())+COUNTIFS('Weekly Model Ranges'!$B$6:$B$53,A7,'Weekly Model Ranges'!$R$6:$R$53,FALSE()))=0,"",COUNTIFS('Weekly Model Ranges'!$B$6:$B$53,A7,'Weekly Model Ranges'!$R$6:$R$53,TRUE())/(COUNTIFS('Weekly Model Ranges'!$B$6:$B$53,A7,'Weekly Model Ranges'!$R$6:$R$53,TRUE())+COUNTIFS('Weekly Model Ranges'!$B$6:$B$53,A7,'Weekly Model Ranges'!$R$6:$R$53,FALSE())))</f>
        <v/>
      </c>
    </row>
    <row r="8">
      <c r="A8" s="14" t="inlineStr">
        <is>
          <t>AMZN</t>
        </is>
      </c>
      <c r="B8" s="15">
        <f>COUNTIFS('Weekly Model Ranges'!$B$6:$B$53,A8,'Weekly Model Ranges'!$Q$6:$Q$53,TRUE())+COUNTIFS('Weekly Model Ranges'!$B$6:$B$53,A8,'Weekly Model Ranges'!$Q$6:$Q$53,FALSE())</f>
        <v/>
      </c>
      <c r="C8" s="16">
        <f>IF((COUNTIFS('Weekly Model Ranges'!$B$6:$B$53,A8,'Weekly Model Ranges'!$O$6:$O$53,TRUE())+COUNTIFS('Weekly Model Ranges'!$B$6:$B$53,A8,'Weekly Model Ranges'!$O$6:$O$53,FALSE()))=0,"",COUNTIFS('Weekly Model Ranges'!$B$6:$B$53,A8,'Weekly Model Ranges'!$O$6:$O$53,TRUE())/(COUNTIFS('Weekly Model Ranges'!$B$6:$B$53,A8,'Weekly Model Ranges'!$O$6:$O$53,TRUE())+COUNTIFS('Weekly Model Ranges'!$B$6:$B$53,A8,'Weekly Model Ranges'!$O$6:$O$53,FALSE())))</f>
        <v/>
      </c>
      <c r="D8" s="16">
        <f>IF((COUNTIFS('Weekly Model Ranges'!$B$6:$B$53,A8,'Weekly Model Ranges'!$P$6:$P$53,TRUE())+COUNTIFS('Weekly Model Ranges'!$B$6:$B$53,A8,'Weekly Model Ranges'!$P$6:$P$53,FALSE()))=0,"",COUNTIFS('Weekly Model Ranges'!$B$6:$B$53,A8,'Weekly Model Ranges'!$P$6:$P$53,TRUE())/(COUNTIFS('Weekly Model Ranges'!$B$6:$B$53,A8,'Weekly Model Ranges'!$P$6:$P$53,TRUE())+COUNTIFS('Weekly Model Ranges'!$B$6:$B$53,A8,'Weekly Model Ranges'!$P$6:$P$53,FALSE())))</f>
        <v/>
      </c>
      <c r="E8" s="17">
        <f>IF((COUNTIFS('Weekly Model Ranges'!$B$6:$B$53,A8,'Weekly Model Ranges'!$Q$6:$Q$53,TRUE())+COUNTIFS('Weekly Model Ranges'!$B$6:$B$53,A8,'Weekly Model Ranges'!$Q$6:$Q$53,FALSE()))=0,"",COUNTIFS('Weekly Model Ranges'!$B$6:$B$53,A8,'Weekly Model Ranges'!$Q$6:$Q$53,TRUE())/(COUNTIFS('Weekly Model Ranges'!$B$6:$B$53,A8,'Weekly Model Ranges'!$Q$6:$Q$53,TRUE())+COUNTIFS('Weekly Model Ranges'!$B$6:$B$53,A8,'Weekly Model Ranges'!$Q$6:$Q$53,FALSE())))</f>
        <v/>
      </c>
      <c r="F8" s="16">
        <f>IF((COUNTIFS('Weekly Model Ranges'!$B$6:$B$53,A8,'Weekly Model Ranges'!$R$6:$R$53,TRUE())+COUNTIFS('Weekly Model Ranges'!$B$6:$B$53,A8,'Weekly Model Ranges'!$R$6:$R$53,FALSE()))=0,"",COUNTIFS('Weekly Model Ranges'!$B$6:$B$53,A8,'Weekly Model Ranges'!$R$6:$R$53,TRUE())/(COUNTIFS('Weekly Model Ranges'!$B$6:$B$53,A8,'Weekly Model Ranges'!$R$6:$R$53,TRUE())+COUNTIFS('Weekly Model Ranges'!$B$6:$B$53,A8,'Weekly Model Ranges'!$R$6:$R$53,FALSE())))</f>
        <v/>
      </c>
    </row>
    <row r="9">
      <c r="A9" s="14" t="inlineStr">
        <is>
          <t>AMD</t>
        </is>
      </c>
      <c r="B9" s="15">
        <f>COUNTIFS('Weekly Model Ranges'!$B$6:$B$53,A9,'Weekly Model Ranges'!$Q$6:$Q$53,TRUE())+COUNTIFS('Weekly Model Ranges'!$B$6:$B$53,A9,'Weekly Model Ranges'!$Q$6:$Q$53,FALSE())</f>
        <v/>
      </c>
      <c r="C9" s="16">
        <f>IF((COUNTIFS('Weekly Model Ranges'!$B$6:$B$53,A9,'Weekly Model Ranges'!$O$6:$O$53,TRUE())+COUNTIFS('Weekly Model Ranges'!$B$6:$B$53,A9,'Weekly Model Ranges'!$O$6:$O$53,FALSE()))=0,"",COUNTIFS('Weekly Model Ranges'!$B$6:$B$53,A9,'Weekly Model Ranges'!$O$6:$O$53,TRUE())/(COUNTIFS('Weekly Model Ranges'!$B$6:$B$53,A9,'Weekly Model Ranges'!$O$6:$O$53,TRUE())+COUNTIFS('Weekly Model Ranges'!$B$6:$B$53,A9,'Weekly Model Ranges'!$O$6:$O$53,FALSE())))</f>
        <v/>
      </c>
      <c r="D9" s="16">
        <f>IF((COUNTIFS('Weekly Model Ranges'!$B$6:$B$53,A9,'Weekly Model Ranges'!$P$6:$P$53,TRUE())+COUNTIFS('Weekly Model Ranges'!$B$6:$B$53,A9,'Weekly Model Ranges'!$P$6:$P$53,FALSE()))=0,"",COUNTIFS('Weekly Model Ranges'!$B$6:$B$53,A9,'Weekly Model Ranges'!$P$6:$P$53,TRUE())/(COUNTIFS('Weekly Model Ranges'!$B$6:$B$53,A9,'Weekly Model Ranges'!$P$6:$P$53,TRUE())+COUNTIFS('Weekly Model Ranges'!$B$6:$B$53,A9,'Weekly Model Ranges'!$P$6:$P$53,FALSE())))</f>
        <v/>
      </c>
      <c r="E9" s="17">
        <f>IF((COUNTIFS('Weekly Model Ranges'!$B$6:$B$53,A9,'Weekly Model Ranges'!$Q$6:$Q$53,TRUE())+COUNTIFS('Weekly Model Ranges'!$B$6:$B$53,A9,'Weekly Model Ranges'!$Q$6:$Q$53,FALSE()))=0,"",COUNTIFS('Weekly Model Ranges'!$B$6:$B$53,A9,'Weekly Model Ranges'!$Q$6:$Q$53,TRUE())/(COUNTIFS('Weekly Model Ranges'!$B$6:$B$53,A9,'Weekly Model Ranges'!$Q$6:$Q$53,TRUE())+COUNTIFS('Weekly Model Ranges'!$B$6:$B$53,A9,'Weekly Model Ranges'!$Q$6:$Q$53,FALSE())))</f>
        <v/>
      </c>
      <c r="F9" s="16">
        <f>IF((COUNTIFS('Weekly Model Ranges'!$B$6:$B$53,A9,'Weekly Model Ranges'!$R$6:$R$53,TRUE())+COUNTIFS('Weekly Model Ranges'!$B$6:$B$53,A9,'Weekly Model Ranges'!$R$6:$R$53,FALSE()))=0,"",COUNTIFS('Weekly Model Ranges'!$B$6:$B$53,A9,'Weekly Model Ranges'!$R$6:$R$53,TRUE())/(COUNTIFS('Weekly Model Ranges'!$B$6:$B$53,A9,'Weekly Model Ranges'!$R$6:$R$53,TRUE())+COUNTIFS('Weekly Model Ranges'!$B$6:$B$53,A9,'Weekly Model Ranges'!$R$6:$R$53,FALSE())))</f>
        <v/>
      </c>
    </row>
    <row r="10">
      <c r="A10" s="18" t="inlineStr">
        <is>
          <t>ALL</t>
        </is>
      </c>
      <c r="B10" s="19">
        <f>SUM(B6:B9)</f>
        <v/>
      </c>
      <c r="C10" s="20">
        <f>IF((COUNTIFS('Weekly Model Ranges'!$B$6:$B$53,"&lt;&gt;",'Weekly Model Ranges'!$O$6:$O$53,TRUE())+COUNTIFS('Weekly Model Ranges'!$B$6:$B$53,"&lt;&gt;",'Weekly Model Ranges'!$O$6:$O$53,FALSE()))=0,"",COUNTIF('Weekly Model Ranges'!$O$6:$O$53,TRUE())/(COUNTIFS('Weekly Model Ranges'!$B$6:$B$53,"&lt;&gt;",'Weekly Model Ranges'!$O$6:$O$53,TRUE())+COUNTIFS('Weekly Model Ranges'!$B$6:$B$53,"&lt;&gt;",'Weekly Model Ranges'!$O$6:$O$53,FALSE())))</f>
        <v/>
      </c>
      <c r="D10" s="20">
        <f>IF((COUNTIFS('Weekly Model Ranges'!$B$6:$B$53,"&lt;&gt;",'Weekly Model Ranges'!$P$6:$P$53,TRUE())+COUNTIFS('Weekly Model Ranges'!$B$6:$B$53,"&lt;&gt;",'Weekly Model Ranges'!$P$6:$P$53,FALSE()))=0,"",COUNTIF('Weekly Model Ranges'!$P$6:$P$53,TRUE())/(COUNTIFS('Weekly Model Ranges'!$B$6:$B$53,"&lt;&gt;",'Weekly Model Ranges'!$P$6:$P$53,TRUE())+COUNTIFS('Weekly Model Ranges'!$B$6:$B$53,"&lt;&gt;",'Weekly Model Ranges'!$P$6:$P$53,FALSE())))</f>
        <v/>
      </c>
      <c r="E10" s="20">
        <f>IF((COUNTIFS('Weekly Model Ranges'!$B$6:$B$53,"&lt;&gt;",'Weekly Model Ranges'!$Q$6:$Q$53,TRUE())+COUNTIFS('Weekly Model Ranges'!$B$6:$B$53,"&lt;&gt;",'Weekly Model Ranges'!$Q$6:$Q$53,FALSE()))=0,"",COUNTIF('Weekly Model Ranges'!$Q$6:$Q$53,TRUE())/(COUNTIFS('Weekly Model Ranges'!$B$6:$B$53,"&lt;&gt;",'Weekly Model Ranges'!$Q$6:$Q$53,TRUE())+COUNTIFS('Weekly Model Ranges'!$B$6:$B$53,"&lt;&gt;",'Weekly Model Ranges'!$Q$6:$Q$53,FALSE())))</f>
        <v/>
      </c>
      <c r="F10" s="20">
        <f>IF((COUNTIFS('Weekly Model Ranges'!$B$6:$B$53,"&lt;&gt;",'Weekly Model Ranges'!$R$6:$R$53,TRUE())+COUNTIFS('Weekly Model Ranges'!$B$6:$B$53,"&lt;&gt;",'Weekly Model Ranges'!$R$6:$R$53,FALSE()))=0,"",COUNTIF('Weekly Model Ranges'!$R$6:$R$53,TRUE())/(COUNTIFS('Weekly Model Ranges'!$B$6:$B$53,"&lt;&gt;",'Weekly Model Ranges'!$R$6:$R$53,TRUE())+COUNTIFS('Weekly Model Ranges'!$B$6:$B$53,"&lt;&gt;",'Weekly Model Ranges'!$R$6:$R$53,FALSE())))</f>
        <v/>
      </c>
    </row>
    <row r="12" ht="15" customHeight="1">
      <c r="A12" s="9" t="inlineStr">
        <is>
          <t>HOW TO READ THIS</t>
        </is>
      </c>
      <c r="B12" s="34" t="n"/>
      <c r="C12" s="34" t="n"/>
      <c r="D12" s="34" t="n"/>
      <c r="E12" s="34" t="n"/>
      <c r="F12" s="34" t="n"/>
      <c r="G12" s="34" t="n"/>
      <c r="H12" s="34" t="n"/>
      <c r="I12" s="35" t="n"/>
    </row>
    <row r="13" ht="15" customHeight="1">
      <c r="A13" s="8" t="inlineStr">
        <is>
          <t>Each model is a different width. Lower PI = tightest band (richest credit, lowest hit rate). Effective =</t>
        </is>
      </c>
      <c r="B13" s="34" t="n"/>
      <c r="C13" s="34" t="n"/>
      <c r="D13" s="34" t="n"/>
      <c r="E13" s="34" t="n"/>
      <c r="F13" s="34" t="n"/>
      <c r="G13" s="34" t="n"/>
      <c r="H13" s="34" t="n"/>
      <c r="I13" s="35" t="n"/>
    </row>
    <row r="14" ht="15" customHeight="1">
      <c r="A14" s="8" t="inlineStr">
        <is>
          <t>widest (your real condor placement, +buffer). The split tells you which width actually pays: a model</t>
        </is>
      </c>
      <c r="B14" s="34" t="n"/>
      <c r="C14" s="34" t="n"/>
      <c r="D14" s="34" t="n"/>
      <c r="E14" s="34" t="n"/>
      <c r="F14" s="34" t="n"/>
      <c r="G14" s="34" t="n"/>
      <c r="H14" s="34" t="n"/>
      <c r="I14" s="35" t="n"/>
    </row>
    <row r="15" ht="15" customHeight="1">
      <c r="A15" s="8" t="inlineStr">
        <is>
          <t>only has edge if its hit rate clears the implied probability of the strikes you sell at that width.</t>
        </is>
      </c>
      <c r="B15" s="34" t="n"/>
      <c r="C15" s="34" t="n"/>
      <c r="D15" s="34" t="n"/>
      <c r="E15" s="34" t="n"/>
      <c r="F15" s="34" t="n"/>
      <c r="G15" s="34" t="n"/>
      <c r="H15" s="34" t="n"/>
      <c r="I15" s="35" t="n"/>
    </row>
    <row r="16" ht="15" customHeight="1">
      <c r="A16" s="8" t="inlineStr">
        <is>
          <t>Log EVERY week the model fires — including weeks you'd skip. Cherry-picking inflates the rate and lies.</t>
        </is>
      </c>
      <c r="B16" s="34" t="n"/>
      <c r="C16" s="34" t="n"/>
      <c r="D16" s="34" t="n"/>
      <c r="E16" s="34" t="n"/>
      <c r="F16" s="34" t="n"/>
      <c r="G16" s="34" t="n"/>
      <c r="H16" s="34" t="n"/>
      <c r="I16" s="35" t="n"/>
    </row>
    <row r="17" ht="22.35" customHeight="1">
      <c r="A17" s="8" t="inlineStr">
        <is>
          <t>~20+ scored rows before the number means anything. A green cell is +1 here. That is the reward. The $3k is gone.</t>
        </is>
      </c>
      <c r="B17" s="34" t="n"/>
      <c r="C17" s="34" t="n"/>
      <c r="D17" s="34" t="n"/>
      <c r="E17" s="34" t="n"/>
      <c r="F17" s="34" t="n"/>
      <c r="G17" s="34" t="n"/>
      <c r="H17" s="34" t="n"/>
      <c r="I17" s="35" t="n"/>
    </row>
  </sheetData>
  <mergeCells count="9">
    <mergeCell ref="A15:I15"/>
    <mergeCell ref="A2:I2"/>
    <mergeCell ref="A13:I13"/>
    <mergeCell ref="A14:I14"/>
    <mergeCell ref="A1:I1"/>
    <mergeCell ref="A17:I17"/>
    <mergeCell ref="A12:I12"/>
    <mergeCell ref="A4:I4"/>
    <mergeCell ref="A16:I16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8" sqref="K8"/>
    </sheetView>
  </sheetViews>
  <sheetFormatPr baseColWidth="8" defaultColWidth="8.7109375" defaultRowHeight="15"/>
  <cols>
    <col width="12" customWidth="1" min="1" max="1"/>
    <col width="11" customWidth="1" min="2" max="2"/>
    <col width="8" customWidth="1" min="3" max="3"/>
    <col width="10" customWidth="1" min="4" max="4"/>
    <col width="11" customWidth="1" min="5" max="5"/>
    <col width="10" customWidth="1" min="6" max="6"/>
    <col width="9" customWidth="1" min="7" max="14"/>
    <col width="7" customWidth="1" min="15" max="15"/>
    <col width="6" customWidth="1" min="16" max="18"/>
    <col width="22" customWidth="1" min="19" max="19"/>
  </cols>
  <sheetData>
    <row r="1" ht="16.15" customHeight="1">
      <c r="A1" s="7" t="inlineStr">
        <is>
          <t>HAR MODELS — WEEKLY RANGE FORWARD TEST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5" t="n"/>
    </row>
    <row r="2" ht="15" customHeight="1">
      <c r="A2" s="11" t="inlineStr">
        <is>
          <t>One row per instrument per week. Each model variant gives its own Low/High band. Win = weekly CLOSE inside that model's band (intraday wicks ignored — set-and-forget).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4" ht="32.85" customHeight="1">
      <c r="A4" s="6" t="n"/>
      <c r="B4" s="34" t="n"/>
      <c r="C4" s="34" t="n"/>
      <c r="D4" s="34" t="n"/>
      <c r="E4" s="34" t="n"/>
      <c r="F4" s="34" t="n"/>
      <c r="G4" s="5" t="inlineStr">
        <is>
          <t>LOWER PI  (tightest — richest credit)</t>
        </is>
      </c>
      <c r="H4" s="34" t="n"/>
      <c r="I4" s="4" t="inlineStr">
        <is>
          <t>POINT ESTIMATE  (HAR base)</t>
        </is>
      </c>
      <c r="J4" s="34" t="n"/>
      <c r="K4" s="3" t="inlineStr">
        <is>
          <t>80% PI UPPER  (80% interval)</t>
        </is>
      </c>
      <c r="L4" s="34" t="n"/>
      <c r="M4" s="2" t="inlineStr">
        <is>
          <t>EFFECTIVE  (PI + buffer — your condor)</t>
        </is>
      </c>
      <c r="N4" s="34" t="n"/>
      <c r="O4" s="1" t="inlineStr">
        <is>
          <t>CLOSE INSIDE? (per model)</t>
        </is>
      </c>
      <c r="P4" s="34" t="n"/>
      <c r="Q4" s="34" t="n"/>
      <c r="R4" s="34" t="n"/>
      <c r="S4" s="21" t="n"/>
    </row>
    <row r="5" ht="27.75" customHeight="1">
      <c r="A5" s="13" t="inlineStr">
        <is>
          <t>Week
(Mon)</t>
        </is>
      </c>
      <c r="B5" s="13" t="inlineStr">
        <is>
          <t>Instrument</t>
        </is>
      </c>
      <c r="C5" s="13" t="inlineStr">
        <is>
          <t>Class</t>
        </is>
      </c>
      <c r="D5" s="13" t="inlineStr">
        <is>
          <t>Ref/Open
($)</t>
        </is>
      </c>
      <c r="E5" s="13" t="inlineStr">
        <is>
          <t>Weekly
Close ($)</t>
        </is>
      </c>
      <c r="F5" s="13" t="inlineStr">
        <is>
          <t>Prev
Close ($)</t>
        </is>
      </c>
      <c r="G5" s="13" t="inlineStr">
        <is>
          <t>Low</t>
        </is>
      </c>
      <c r="H5" s="13" t="inlineStr">
        <is>
          <t>High</t>
        </is>
      </c>
      <c r="I5" s="13" t="inlineStr">
        <is>
          <t>Low</t>
        </is>
      </c>
      <c r="J5" s="13" t="inlineStr">
        <is>
          <t>High</t>
        </is>
      </c>
      <c r="K5" s="13" t="inlineStr">
        <is>
          <t>Low</t>
        </is>
      </c>
      <c r="L5" s="13" t="inlineStr">
        <is>
          <t>High</t>
        </is>
      </c>
      <c r="M5" s="13" t="inlineStr">
        <is>
          <t>Low</t>
        </is>
      </c>
      <c r="N5" s="13" t="inlineStr">
        <is>
          <t>High</t>
        </is>
      </c>
      <c r="O5" s="13" t="inlineStr">
        <is>
          <t>Lower PI</t>
        </is>
      </c>
      <c r="P5" s="13" t="inlineStr">
        <is>
          <t>Point</t>
        </is>
      </c>
      <c r="Q5" s="13" t="inlineStr">
        <is>
          <t>80% PI</t>
        </is>
      </c>
      <c r="R5" s="13" t="inlineStr">
        <is>
          <t>Eff</t>
        </is>
      </c>
      <c r="S5" s="13" t="inlineStr">
        <is>
          <t>Notes</t>
        </is>
      </c>
    </row>
    <row r="6">
      <c r="A6" s="22" t="n"/>
      <c r="B6" s="23" t="inlineStr">
        <is>
          <t>SPX</t>
        </is>
      </c>
      <c r="C6" s="24" t="inlineStr">
        <is>
          <t>Index</t>
        </is>
      </c>
      <c r="D6" s="25" t="n"/>
      <c r="E6" s="26" t="n"/>
      <c r="F6" s="25" t="n"/>
      <c r="G6" s="27" t="n"/>
      <c r="H6" s="27" t="n"/>
      <c r="I6" s="28" t="n"/>
      <c r="J6" s="28" t="n"/>
      <c r="K6" s="29" t="n"/>
      <c r="L6" s="29" t="n"/>
      <c r="M6" s="30" t="n"/>
      <c r="N6" s="30" t="n"/>
      <c r="O6" s="21">
        <f>IF(OR(G6="",H6="",E6=""),"",IF(AND(E6&gt;=G6,E6&lt;=H6),TRUE(),FALSE()))</f>
        <v/>
      </c>
      <c r="P6" s="21">
        <f>IF(OR(I6="",J6="",E6=""),"",IF(AND(E6&gt;=I6,E6&lt;=J6),TRUE(),FALSE()))</f>
        <v/>
      </c>
      <c r="Q6" s="21">
        <f>IF(OR(K6="",L6="",E6=""),"",IF(AND(E6&gt;=K6,E6&lt;=L6),TRUE(),FALSE()))</f>
        <v/>
      </c>
      <c r="R6" s="21">
        <f>IF(OR(M6="",N6="",E6=""),"",IF(AND(E6&gt;=M6,E6&lt;=N6),TRUE(),FALSE()))</f>
        <v/>
      </c>
      <c r="S6" s="31" t="n"/>
    </row>
    <row r="7">
      <c r="A7" s="22" t="n"/>
      <c r="B7" s="23" t="inlineStr">
        <is>
          <t>QQQ</t>
        </is>
      </c>
      <c r="C7" s="24" t="inlineStr">
        <is>
          <t>ETF</t>
        </is>
      </c>
      <c r="D7" s="25" t="n"/>
      <c r="E7" s="26" t="n"/>
      <c r="F7" s="25" t="n"/>
      <c r="G7" s="27" t="n"/>
      <c r="H7" s="27" t="n"/>
      <c r="I7" s="28" t="n"/>
      <c r="J7" s="28" t="n"/>
      <c r="K7" s="29" t="n"/>
      <c r="L7" s="29" t="n"/>
      <c r="M7" s="30" t="n"/>
      <c r="N7" s="30" t="n"/>
      <c r="O7" s="21">
        <f>IF(OR(G7="",H7="",E7=""),"",IF(AND(E7&gt;=G7,E7&lt;=H7),TRUE(),FALSE()))</f>
        <v/>
      </c>
      <c r="P7" s="21">
        <f>IF(OR(I7="",J7="",E7=""),"",IF(AND(E7&gt;=I7,E7&lt;=J7),TRUE(),FALSE()))</f>
        <v/>
      </c>
      <c r="Q7" s="21">
        <f>IF(OR(K7="",L7="",E7=""),"",IF(AND(E7&gt;=K7,E7&lt;=L7),TRUE(),FALSE()))</f>
        <v/>
      </c>
      <c r="R7" s="21">
        <f>IF(OR(M7="",N7="",E7=""),"",IF(AND(E7&gt;=M7,E7&lt;=N7),TRUE(),FALSE()))</f>
        <v/>
      </c>
      <c r="S7" s="31" t="n"/>
    </row>
    <row r="8">
      <c r="A8" s="22" t="n"/>
      <c r="B8" s="23" t="inlineStr">
        <is>
          <t>AMZN</t>
        </is>
      </c>
      <c r="C8" s="24" t="inlineStr">
        <is>
          <t>Stock</t>
        </is>
      </c>
      <c r="D8" s="25" t="n"/>
      <c r="E8" s="26" t="n"/>
      <c r="F8" s="25" t="n"/>
      <c r="G8" s="27" t="n"/>
      <c r="H8" s="27" t="n"/>
      <c r="I8" s="28" t="n"/>
      <c r="J8" s="28" t="n"/>
      <c r="K8" s="29" t="n"/>
      <c r="L8" s="29" t="n"/>
      <c r="M8" s="30" t="n"/>
      <c r="N8" s="30" t="n"/>
      <c r="O8" s="21">
        <f>IF(OR(G8="",H8="",E8=""),"",IF(AND(E8&gt;=G8,E8&lt;=H8),TRUE(),FALSE()))</f>
        <v/>
      </c>
      <c r="P8" s="21">
        <f>IF(OR(I8="",J8="",E8=""),"",IF(AND(E8&gt;=I8,E8&lt;=J8),TRUE(),FALSE()))</f>
        <v/>
      </c>
      <c r="Q8" s="21">
        <f>IF(OR(K8="",L8="",E8=""),"",IF(AND(E8&gt;=K8,E8&lt;=L8),TRUE(),FALSE()))</f>
        <v/>
      </c>
      <c r="R8" s="21">
        <f>IF(OR(M8="",N8="",E8=""),"",IF(AND(E8&gt;=M8,E8&lt;=N8),TRUE(),FALSE()))</f>
        <v/>
      </c>
      <c r="S8" s="31" t="n"/>
    </row>
    <row r="9">
      <c r="A9" s="22" t="n"/>
      <c r="B9" s="23" t="inlineStr">
        <is>
          <t>AMD</t>
        </is>
      </c>
      <c r="C9" s="24" t="inlineStr">
        <is>
          <t>Stock</t>
        </is>
      </c>
      <c r="D9" s="25" t="n"/>
      <c r="E9" s="26" t="n"/>
      <c r="F9" s="25" t="n"/>
      <c r="G9" s="27" t="n"/>
      <c r="H9" s="27" t="n"/>
      <c r="I9" s="28" t="n"/>
      <c r="J9" s="28" t="n"/>
      <c r="K9" s="29" t="n"/>
      <c r="L9" s="29" t="n"/>
      <c r="M9" s="30" t="n"/>
      <c r="N9" s="30" t="n"/>
      <c r="O9" s="21">
        <f>IF(OR(G9="",H9="",E9=""),"",IF(AND(E9&gt;=G9,E9&lt;=H9),TRUE(),FALSE()))</f>
        <v/>
      </c>
      <c r="P9" s="21">
        <f>IF(OR(I9="",J9="",E9=""),"",IF(AND(E9&gt;=I9,E9&lt;=J9),TRUE(),FALSE()))</f>
        <v/>
      </c>
      <c r="Q9" s="21">
        <f>IF(OR(K9="",L9="",E9=""),"",IF(AND(E9&gt;=K9,E9&lt;=L9),TRUE(),FALSE()))</f>
        <v/>
      </c>
      <c r="R9" s="21">
        <f>IF(OR(M9="",N9="",E9=""),"",IF(AND(E9&gt;=M9,E9&lt;=N9),TRUE(),FALSE()))</f>
        <v/>
      </c>
      <c r="S9" s="31" t="n"/>
    </row>
    <row r="10">
      <c r="A10" s="32" t="n"/>
      <c r="B10" s="14" t="inlineStr">
        <is>
          <t>SPX</t>
        </is>
      </c>
      <c r="C10" s="31" t="inlineStr">
        <is>
          <t>Index</t>
        </is>
      </c>
      <c r="D10" s="33" t="n"/>
      <c r="E10" s="26" t="n"/>
      <c r="F10" s="33" t="n"/>
      <c r="G10" s="27" t="n"/>
      <c r="H10" s="27" t="n"/>
      <c r="I10" s="28" t="n"/>
      <c r="J10" s="28" t="n"/>
      <c r="K10" s="29" t="n"/>
      <c r="L10" s="29" t="n"/>
      <c r="M10" s="30" t="n"/>
      <c r="N10" s="30" t="n"/>
      <c r="O10" s="21">
        <f>IF(OR(G10="",H10="",E10=""),"",IF(AND(E10&gt;=G10,E10&lt;=H10),TRUE(),FALSE()))</f>
        <v/>
      </c>
      <c r="P10" s="21">
        <f>IF(OR(I10="",J10="",E10=""),"",IF(AND(E10&gt;=I10,E10&lt;=J10),TRUE(),FALSE()))</f>
        <v/>
      </c>
      <c r="Q10" s="21">
        <f>IF(OR(K10="",L10="",E10=""),"",IF(AND(E10&gt;=K10,E10&lt;=L10),TRUE(),FALSE()))</f>
        <v/>
      </c>
      <c r="R10" s="21">
        <f>IF(OR(M10="",N10="",E10=""),"",IF(AND(E10&gt;=M10,E10&lt;=N10),TRUE(),FALSE()))</f>
        <v/>
      </c>
      <c r="S10" s="31" t="n"/>
    </row>
    <row r="11">
      <c r="A11" s="32" t="n"/>
      <c r="B11" s="14" t="inlineStr">
        <is>
          <t>QQQ</t>
        </is>
      </c>
      <c r="C11" s="31" t="inlineStr">
        <is>
          <t>ETF</t>
        </is>
      </c>
      <c r="D11" s="33" t="n"/>
      <c r="E11" s="26" t="n"/>
      <c r="F11" s="33" t="n"/>
      <c r="G11" s="27" t="n"/>
      <c r="H11" s="27" t="n"/>
      <c r="I11" s="28" t="n"/>
      <c r="J11" s="28" t="n"/>
      <c r="K11" s="29" t="n"/>
      <c r="L11" s="29" t="n"/>
      <c r="M11" s="30" t="n"/>
      <c r="N11" s="30" t="n"/>
      <c r="O11" s="21">
        <f>IF(OR(G11="",H11="",E11=""),"",IF(AND(E11&gt;=G11,E11&lt;=H11),TRUE(),FALSE()))</f>
        <v/>
      </c>
      <c r="P11" s="21">
        <f>IF(OR(I11="",J11="",E11=""),"",IF(AND(E11&gt;=I11,E11&lt;=J11),TRUE(),FALSE()))</f>
        <v/>
      </c>
      <c r="Q11" s="21">
        <f>IF(OR(K11="",L11="",E11=""),"",IF(AND(E11&gt;=K11,E11&lt;=L11),TRUE(),FALSE()))</f>
        <v/>
      </c>
      <c r="R11" s="21">
        <f>IF(OR(M11="",N11="",E11=""),"",IF(AND(E11&gt;=M11,E11&lt;=N11),TRUE(),FALSE()))</f>
        <v/>
      </c>
      <c r="S11" s="31" t="n"/>
    </row>
    <row r="12">
      <c r="A12" s="32" t="n"/>
      <c r="B12" s="14" t="inlineStr">
        <is>
          <t>AMZN</t>
        </is>
      </c>
      <c r="C12" s="31" t="inlineStr">
        <is>
          <t>Stock</t>
        </is>
      </c>
      <c r="D12" s="33" t="n"/>
      <c r="E12" s="26" t="n"/>
      <c r="F12" s="33" t="n"/>
      <c r="G12" s="27" t="n"/>
      <c r="H12" s="27" t="n"/>
      <c r="I12" s="28" t="n"/>
      <c r="J12" s="28" t="n"/>
      <c r="K12" s="29" t="n"/>
      <c r="L12" s="29" t="n"/>
      <c r="M12" s="30" t="n"/>
      <c r="N12" s="30" t="n"/>
      <c r="O12" s="21">
        <f>IF(OR(G12="",H12="",E12=""),"",IF(AND(E12&gt;=G12,E12&lt;=H12),TRUE(),FALSE()))</f>
        <v/>
      </c>
      <c r="P12" s="21">
        <f>IF(OR(I12="",J12="",E12=""),"",IF(AND(E12&gt;=I12,E12&lt;=J12),TRUE(),FALSE()))</f>
        <v/>
      </c>
      <c r="Q12" s="21">
        <f>IF(OR(K12="",L12="",E12=""),"",IF(AND(E12&gt;=K12,E12&lt;=L12),TRUE(),FALSE()))</f>
        <v/>
      </c>
      <c r="R12" s="21">
        <f>IF(OR(M12="",N12="",E12=""),"",IF(AND(E12&gt;=M12,E12&lt;=N12),TRUE(),FALSE()))</f>
        <v/>
      </c>
      <c r="S12" s="31" t="n"/>
    </row>
    <row r="13">
      <c r="A13" s="32" t="n"/>
      <c r="B13" s="14" t="inlineStr">
        <is>
          <t>AMD</t>
        </is>
      </c>
      <c r="C13" s="31" t="inlineStr">
        <is>
          <t>Stock</t>
        </is>
      </c>
      <c r="D13" s="33" t="n"/>
      <c r="E13" s="26" t="n"/>
      <c r="F13" s="33" t="n"/>
      <c r="G13" s="27" t="n"/>
      <c r="H13" s="27" t="n"/>
      <c r="I13" s="28" t="n"/>
      <c r="J13" s="28" t="n"/>
      <c r="K13" s="29" t="n"/>
      <c r="L13" s="29" t="n"/>
      <c r="M13" s="30" t="n"/>
      <c r="N13" s="30" t="n"/>
      <c r="O13" s="21">
        <f>IF(OR(G13="",H13="",E13=""),"",IF(AND(E13&gt;=G13,E13&lt;=H13),TRUE(),FALSE()))</f>
        <v/>
      </c>
      <c r="P13" s="21">
        <f>IF(OR(I13="",J13="",E13=""),"",IF(AND(E13&gt;=I13,E13&lt;=J13),TRUE(),FALSE()))</f>
        <v/>
      </c>
      <c r="Q13" s="21">
        <f>IF(OR(K13="",L13="",E13=""),"",IF(AND(E13&gt;=K13,E13&lt;=L13),TRUE(),FALSE()))</f>
        <v/>
      </c>
      <c r="R13" s="21">
        <f>IF(OR(M13="",N13="",E13=""),"",IF(AND(E13&gt;=M13,E13&lt;=N13),TRUE(),FALSE()))</f>
        <v/>
      </c>
      <c r="S13" s="31" t="n"/>
    </row>
    <row r="14">
      <c r="A14" s="22" t="n"/>
      <c r="B14" s="23" t="inlineStr">
        <is>
          <t>SPX</t>
        </is>
      </c>
      <c r="C14" s="24" t="inlineStr">
        <is>
          <t>Index</t>
        </is>
      </c>
      <c r="D14" s="25" t="n"/>
      <c r="E14" s="26" t="n"/>
      <c r="F14" s="25" t="n"/>
      <c r="G14" s="27" t="n"/>
      <c r="H14" s="27" t="n"/>
      <c r="I14" s="28" t="n"/>
      <c r="J14" s="28" t="n"/>
      <c r="K14" s="29" t="n"/>
      <c r="L14" s="29" t="n"/>
      <c r="M14" s="30" t="n"/>
      <c r="N14" s="30" t="n"/>
      <c r="O14" s="21">
        <f>IF(OR(G14="",H14="",E14=""),"",IF(AND(E14&gt;=G14,E14&lt;=H14),TRUE(),FALSE()))</f>
        <v/>
      </c>
      <c r="P14" s="21">
        <f>IF(OR(I14="",J14="",E14=""),"",IF(AND(E14&gt;=I14,E14&lt;=J14),TRUE(),FALSE()))</f>
        <v/>
      </c>
      <c r="Q14" s="21">
        <f>IF(OR(K14="",L14="",E14=""),"",IF(AND(E14&gt;=K14,E14&lt;=L14),TRUE(),FALSE()))</f>
        <v/>
      </c>
      <c r="R14" s="21">
        <f>IF(OR(M14="",N14="",E14=""),"",IF(AND(E14&gt;=M14,E14&lt;=N14),TRUE(),FALSE()))</f>
        <v/>
      </c>
      <c r="S14" s="31" t="n"/>
    </row>
    <row r="15">
      <c r="A15" s="22" t="n"/>
      <c r="B15" s="23" t="inlineStr">
        <is>
          <t>QQQ</t>
        </is>
      </c>
      <c r="C15" s="24" t="inlineStr">
        <is>
          <t>ETF</t>
        </is>
      </c>
      <c r="D15" s="25" t="n"/>
      <c r="E15" s="26" t="n"/>
      <c r="F15" s="25" t="n"/>
      <c r="G15" s="27" t="n"/>
      <c r="H15" s="27" t="n"/>
      <c r="I15" s="28" t="n"/>
      <c r="J15" s="28" t="n"/>
      <c r="K15" s="29" t="n"/>
      <c r="L15" s="29" t="n"/>
      <c r="M15" s="30" t="n"/>
      <c r="N15" s="30" t="n"/>
      <c r="O15" s="21">
        <f>IF(OR(G15="",H15="",E15=""),"",IF(AND(E15&gt;=G15,E15&lt;=H15),TRUE(),FALSE()))</f>
        <v/>
      </c>
      <c r="P15" s="21">
        <f>IF(OR(I15="",J15="",E15=""),"",IF(AND(E15&gt;=I15,E15&lt;=J15),TRUE(),FALSE()))</f>
        <v/>
      </c>
      <c r="Q15" s="21">
        <f>IF(OR(K15="",L15="",E15=""),"",IF(AND(E15&gt;=K15,E15&lt;=L15),TRUE(),FALSE()))</f>
        <v/>
      </c>
      <c r="R15" s="21">
        <f>IF(OR(M15="",N15="",E15=""),"",IF(AND(E15&gt;=M15,E15&lt;=N15),TRUE(),FALSE()))</f>
        <v/>
      </c>
      <c r="S15" s="31" t="n"/>
    </row>
    <row r="16">
      <c r="A16" s="22" t="n"/>
      <c r="B16" s="23" t="inlineStr">
        <is>
          <t>AMZN</t>
        </is>
      </c>
      <c r="C16" s="24" t="inlineStr">
        <is>
          <t>Stock</t>
        </is>
      </c>
      <c r="D16" s="25" t="n"/>
      <c r="E16" s="26" t="n"/>
      <c r="F16" s="25" t="n"/>
      <c r="G16" s="27" t="n"/>
      <c r="H16" s="27" t="n"/>
      <c r="I16" s="28" t="n"/>
      <c r="J16" s="28" t="n"/>
      <c r="K16" s="29" t="n"/>
      <c r="L16" s="29" t="n"/>
      <c r="M16" s="30" t="n"/>
      <c r="N16" s="30" t="n"/>
      <c r="O16" s="21">
        <f>IF(OR(G16="",H16="",E16=""),"",IF(AND(E16&gt;=G16,E16&lt;=H16),TRUE(),FALSE()))</f>
        <v/>
      </c>
      <c r="P16" s="21">
        <f>IF(OR(I16="",J16="",E16=""),"",IF(AND(E16&gt;=I16,E16&lt;=J16),TRUE(),FALSE()))</f>
        <v/>
      </c>
      <c r="Q16" s="21">
        <f>IF(OR(K16="",L16="",E16=""),"",IF(AND(E16&gt;=K16,E16&lt;=L16),TRUE(),FALSE()))</f>
        <v/>
      </c>
      <c r="R16" s="21">
        <f>IF(OR(M16="",N16="",E16=""),"",IF(AND(E16&gt;=M16,E16&lt;=N16),TRUE(),FALSE()))</f>
        <v/>
      </c>
      <c r="S16" s="31" t="n"/>
    </row>
    <row r="17">
      <c r="A17" s="22" t="n"/>
      <c r="B17" s="23" t="inlineStr">
        <is>
          <t>AMD</t>
        </is>
      </c>
      <c r="C17" s="24" t="inlineStr">
        <is>
          <t>Stock</t>
        </is>
      </c>
      <c r="D17" s="25" t="n"/>
      <c r="E17" s="26" t="n"/>
      <c r="F17" s="25" t="n"/>
      <c r="G17" s="27" t="n"/>
      <c r="H17" s="27" t="n"/>
      <c r="I17" s="28" t="n"/>
      <c r="J17" s="28" t="n"/>
      <c r="K17" s="29" t="n"/>
      <c r="L17" s="29" t="n"/>
      <c r="M17" s="30" t="n"/>
      <c r="N17" s="30" t="n"/>
      <c r="O17" s="21">
        <f>IF(OR(G17="",H17="",E17=""),"",IF(AND(E17&gt;=G17,E17&lt;=H17),TRUE(),FALSE()))</f>
        <v/>
      </c>
      <c r="P17" s="21">
        <f>IF(OR(I17="",J17="",E17=""),"",IF(AND(E17&gt;=I17,E17&lt;=J17),TRUE(),FALSE()))</f>
        <v/>
      </c>
      <c r="Q17" s="21">
        <f>IF(OR(K17="",L17="",E17=""),"",IF(AND(E17&gt;=K17,E17&lt;=L17),TRUE(),FALSE()))</f>
        <v/>
      </c>
      <c r="R17" s="21">
        <f>IF(OR(M17="",N17="",E17=""),"",IF(AND(E17&gt;=M17,E17&lt;=N17),TRUE(),FALSE()))</f>
        <v/>
      </c>
      <c r="S17" s="31" t="n"/>
    </row>
    <row r="18">
      <c r="A18" s="32" t="n"/>
      <c r="B18" s="14" t="inlineStr">
        <is>
          <t>SPX</t>
        </is>
      </c>
      <c r="C18" s="31" t="inlineStr">
        <is>
          <t>Index</t>
        </is>
      </c>
      <c r="D18" s="33" t="n"/>
      <c r="E18" s="26" t="n"/>
      <c r="F18" s="33" t="n"/>
      <c r="G18" s="27" t="n"/>
      <c r="H18" s="27" t="n"/>
      <c r="I18" s="28" t="n"/>
      <c r="J18" s="28" t="n"/>
      <c r="K18" s="29" t="n"/>
      <c r="L18" s="29" t="n"/>
      <c r="M18" s="30" t="n"/>
      <c r="N18" s="30" t="n"/>
      <c r="O18" s="21">
        <f>IF(OR(G18="",H18="",E18=""),"",IF(AND(E18&gt;=G18,E18&lt;=H18),TRUE(),FALSE()))</f>
        <v/>
      </c>
      <c r="P18" s="21">
        <f>IF(OR(I18="",J18="",E18=""),"",IF(AND(E18&gt;=I18,E18&lt;=J18),TRUE(),FALSE()))</f>
        <v/>
      </c>
      <c r="Q18" s="21">
        <f>IF(OR(K18="",L18="",E18=""),"",IF(AND(E18&gt;=K18,E18&lt;=L18),TRUE(),FALSE()))</f>
        <v/>
      </c>
      <c r="R18" s="21">
        <f>IF(OR(M18="",N18="",E18=""),"",IF(AND(E18&gt;=M18,E18&lt;=N18),TRUE(),FALSE()))</f>
        <v/>
      </c>
      <c r="S18" s="31" t="n"/>
    </row>
    <row r="19">
      <c r="A19" s="32" t="n"/>
      <c r="B19" s="14" t="inlineStr">
        <is>
          <t>QQQ</t>
        </is>
      </c>
      <c r="C19" s="31" t="inlineStr">
        <is>
          <t>ETF</t>
        </is>
      </c>
      <c r="D19" s="33" t="n"/>
      <c r="E19" s="26" t="n"/>
      <c r="F19" s="33" t="n"/>
      <c r="G19" s="27" t="n"/>
      <c r="H19" s="27" t="n"/>
      <c r="I19" s="28" t="n"/>
      <c r="J19" s="28" t="n"/>
      <c r="K19" s="29" t="n"/>
      <c r="L19" s="29" t="n"/>
      <c r="M19" s="30" t="n"/>
      <c r="N19" s="30" t="n"/>
      <c r="O19" s="21">
        <f>IF(OR(G19="",H19="",E19=""),"",IF(AND(E19&gt;=G19,E19&lt;=H19),TRUE(),FALSE()))</f>
        <v/>
      </c>
      <c r="P19" s="21">
        <f>IF(OR(I19="",J19="",E19=""),"",IF(AND(E19&gt;=I19,E19&lt;=J19),TRUE(),FALSE()))</f>
        <v/>
      </c>
      <c r="Q19" s="21">
        <f>IF(OR(K19="",L19="",E19=""),"",IF(AND(E19&gt;=K19,E19&lt;=L19),TRUE(),FALSE()))</f>
        <v/>
      </c>
      <c r="R19" s="21">
        <f>IF(OR(M19="",N19="",E19=""),"",IF(AND(E19&gt;=M19,E19&lt;=N19),TRUE(),FALSE()))</f>
        <v/>
      </c>
      <c r="S19" s="31" t="n"/>
    </row>
    <row r="20">
      <c r="A20" s="32" t="n"/>
      <c r="B20" s="14" t="inlineStr">
        <is>
          <t>AMZN</t>
        </is>
      </c>
      <c r="C20" s="31" t="inlineStr">
        <is>
          <t>Stock</t>
        </is>
      </c>
      <c r="D20" s="33" t="n"/>
      <c r="E20" s="26" t="n"/>
      <c r="F20" s="33" t="n"/>
      <c r="G20" s="27" t="n"/>
      <c r="H20" s="27" t="n"/>
      <c r="I20" s="28" t="n"/>
      <c r="J20" s="28" t="n"/>
      <c r="K20" s="29" t="n"/>
      <c r="L20" s="29" t="n"/>
      <c r="M20" s="30" t="n"/>
      <c r="N20" s="30" t="n"/>
      <c r="O20" s="21">
        <f>IF(OR(G20="",H20="",E20=""),"",IF(AND(E20&gt;=G20,E20&lt;=H20),TRUE(),FALSE()))</f>
        <v/>
      </c>
      <c r="P20" s="21">
        <f>IF(OR(I20="",J20="",E20=""),"",IF(AND(E20&gt;=I20,E20&lt;=J20),TRUE(),FALSE()))</f>
        <v/>
      </c>
      <c r="Q20" s="21">
        <f>IF(OR(K20="",L20="",E20=""),"",IF(AND(E20&gt;=K20,E20&lt;=L20),TRUE(),FALSE()))</f>
        <v/>
      </c>
      <c r="R20" s="21">
        <f>IF(OR(M20="",N20="",E20=""),"",IF(AND(E20&gt;=M20,E20&lt;=N20),TRUE(),FALSE()))</f>
        <v/>
      </c>
      <c r="S20" s="31" t="n"/>
    </row>
    <row r="21">
      <c r="A21" s="32" t="n"/>
      <c r="B21" s="14" t="inlineStr">
        <is>
          <t>AMD</t>
        </is>
      </c>
      <c r="C21" s="31" t="inlineStr">
        <is>
          <t>Stock</t>
        </is>
      </c>
      <c r="D21" s="33" t="n"/>
      <c r="E21" s="26" t="n"/>
      <c r="F21" s="33" t="n"/>
      <c r="G21" s="27" t="n"/>
      <c r="H21" s="27" t="n"/>
      <c r="I21" s="28" t="n"/>
      <c r="J21" s="28" t="n"/>
      <c r="K21" s="29" t="n"/>
      <c r="L21" s="29" t="n"/>
      <c r="M21" s="30" t="n"/>
      <c r="N21" s="30" t="n"/>
      <c r="O21" s="21">
        <f>IF(OR(G21="",H21="",E21=""),"",IF(AND(E21&gt;=G21,E21&lt;=H21),TRUE(),FALSE()))</f>
        <v/>
      </c>
      <c r="P21" s="21">
        <f>IF(OR(I21="",J21="",E21=""),"",IF(AND(E21&gt;=I21,E21&lt;=J21),TRUE(),FALSE()))</f>
        <v/>
      </c>
      <c r="Q21" s="21">
        <f>IF(OR(K21="",L21="",E21=""),"",IF(AND(E21&gt;=K21,E21&lt;=L21),TRUE(),FALSE()))</f>
        <v/>
      </c>
      <c r="R21" s="21">
        <f>IF(OR(M21="",N21="",E21=""),"",IF(AND(E21&gt;=M21,E21&lt;=N21),TRUE(),FALSE()))</f>
        <v/>
      </c>
      <c r="S21" s="31" t="n"/>
    </row>
    <row r="22">
      <c r="A22" s="22" t="n"/>
      <c r="B22" s="23" t="inlineStr">
        <is>
          <t>SPX</t>
        </is>
      </c>
      <c r="C22" s="24" t="inlineStr">
        <is>
          <t>Index</t>
        </is>
      </c>
      <c r="D22" s="25" t="n"/>
      <c r="E22" s="26" t="n"/>
      <c r="F22" s="25" t="n"/>
      <c r="G22" s="27" t="n"/>
      <c r="H22" s="27" t="n"/>
      <c r="I22" s="28" t="n"/>
      <c r="J22" s="28" t="n"/>
      <c r="K22" s="29" t="n"/>
      <c r="L22" s="29" t="n"/>
      <c r="M22" s="30" t="n"/>
      <c r="N22" s="30" t="n"/>
      <c r="O22" s="21">
        <f>IF(OR(G22="",H22="",E22=""),"",IF(AND(E22&gt;=G22,E22&lt;=H22),TRUE(),FALSE()))</f>
        <v/>
      </c>
      <c r="P22" s="21">
        <f>IF(OR(I22="",J22="",E22=""),"",IF(AND(E22&gt;=I22,E22&lt;=J22),TRUE(),FALSE()))</f>
        <v/>
      </c>
      <c r="Q22" s="21">
        <f>IF(OR(K22="",L22="",E22=""),"",IF(AND(E22&gt;=K22,E22&lt;=L22),TRUE(),FALSE()))</f>
        <v/>
      </c>
      <c r="R22" s="21">
        <f>IF(OR(M22="",N22="",E22=""),"",IF(AND(E22&gt;=M22,E22&lt;=N22),TRUE(),FALSE()))</f>
        <v/>
      </c>
      <c r="S22" s="31" t="n"/>
    </row>
    <row r="23">
      <c r="A23" s="22" t="n"/>
      <c r="B23" s="23" t="inlineStr">
        <is>
          <t>QQQ</t>
        </is>
      </c>
      <c r="C23" s="24" t="inlineStr">
        <is>
          <t>ETF</t>
        </is>
      </c>
      <c r="D23" s="25" t="n"/>
      <c r="E23" s="26" t="n"/>
      <c r="F23" s="25" t="n"/>
      <c r="G23" s="27" t="n"/>
      <c r="H23" s="27" t="n"/>
      <c r="I23" s="28" t="n"/>
      <c r="J23" s="28" t="n"/>
      <c r="K23" s="29" t="n"/>
      <c r="L23" s="29" t="n"/>
      <c r="M23" s="30" t="n"/>
      <c r="N23" s="30" t="n"/>
      <c r="O23" s="21">
        <f>IF(OR(G23="",H23="",E23=""),"",IF(AND(E23&gt;=G23,E23&lt;=H23),TRUE(),FALSE()))</f>
        <v/>
      </c>
      <c r="P23" s="21">
        <f>IF(OR(I23="",J23="",E23=""),"",IF(AND(E23&gt;=I23,E23&lt;=J23),TRUE(),FALSE()))</f>
        <v/>
      </c>
      <c r="Q23" s="21">
        <f>IF(OR(K23="",L23="",E23=""),"",IF(AND(E23&gt;=K23,E23&lt;=L23),TRUE(),FALSE()))</f>
        <v/>
      </c>
      <c r="R23" s="21">
        <f>IF(OR(M23="",N23="",E23=""),"",IF(AND(E23&gt;=M23,E23&lt;=N23),TRUE(),FALSE()))</f>
        <v/>
      </c>
      <c r="S23" s="31" t="n"/>
    </row>
    <row r="24">
      <c r="A24" s="22" t="n"/>
      <c r="B24" s="23" t="inlineStr">
        <is>
          <t>AMZN</t>
        </is>
      </c>
      <c r="C24" s="24" t="inlineStr">
        <is>
          <t>Stock</t>
        </is>
      </c>
      <c r="D24" s="25" t="n"/>
      <c r="E24" s="26" t="n"/>
      <c r="F24" s="25" t="n"/>
      <c r="G24" s="27" t="n"/>
      <c r="H24" s="27" t="n"/>
      <c r="I24" s="28" t="n"/>
      <c r="J24" s="28" t="n"/>
      <c r="K24" s="29" t="n"/>
      <c r="L24" s="29" t="n"/>
      <c r="M24" s="30" t="n"/>
      <c r="N24" s="30" t="n"/>
      <c r="O24" s="21">
        <f>IF(OR(G24="",H24="",E24=""),"",IF(AND(E24&gt;=G24,E24&lt;=H24),TRUE(),FALSE()))</f>
        <v/>
      </c>
      <c r="P24" s="21">
        <f>IF(OR(I24="",J24="",E24=""),"",IF(AND(E24&gt;=I24,E24&lt;=J24),TRUE(),FALSE()))</f>
        <v/>
      </c>
      <c r="Q24" s="21">
        <f>IF(OR(K24="",L24="",E24=""),"",IF(AND(E24&gt;=K24,E24&lt;=L24),TRUE(),FALSE()))</f>
        <v/>
      </c>
      <c r="R24" s="21">
        <f>IF(OR(M24="",N24="",E24=""),"",IF(AND(E24&gt;=M24,E24&lt;=N24),TRUE(),FALSE()))</f>
        <v/>
      </c>
      <c r="S24" s="31" t="n"/>
    </row>
    <row r="25">
      <c r="A25" s="22" t="n"/>
      <c r="B25" s="23" t="inlineStr">
        <is>
          <t>AMD</t>
        </is>
      </c>
      <c r="C25" s="24" t="inlineStr">
        <is>
          <t>Stock</t>
        </is>
      </c>
      <c r="D25" s="25" t="n"/>
      <c r="E25" s="26" t="n"/>
      <c r="F25" s="25" t="n"/>
      <c r="G25" s="27" t="n"/>
      <c r="H25" s="27" t="n"/>
      <c r="I25" s="28" t="n"/>
      <c r="J25" s="28" t="n"/>
      <c r="K25" s="29" t="n"/>
      <c r="L25" s="29" t="n"/>
      <c r="M25" s="30" t="n"/>
      <c r="N25" s="30" t="n"/>
      <c r="O25" s="21">
        <f>IF(OR(G25="",H25="",E25=""),"",IF(AND(E25&gt;=G25,E25&lt;=H25),TRUE(),FALSE()))</f>
        <v/>
      </c>
      <c r="P25" s="21">
        <f>IF(OR(I25="",J25="",E25=""),"",IF(AND(E25&gt;=I25,E25&lt;=J25),TRUE(),FALSE()))</f>
        <v/>
      </c>
      <c r="Q25" s="21">
        <f>IF(OR(K25="",L25="",E25=""),"",IF(AND(E25&gt;=K25,E25&lt;=L25),TRUE(),FALSE()))</f>
        <v/>
      </c>
      <c r="R25" s="21">
        <f>IF(OR(M25="",N25="",E25=""),"",IF(AND(E25&gt;=M25,E25&lt;=N25),TRUE(),FALSE()))</f>
        <v/>
      </c>
      <c r="S25" s="31" t="n"/>
    </row>
    <row r="26">
      <c r="A26" s="32" t="n"/>
      <c r="B26" s="14" t="inlineStr">
        <is>
          <t>SPX</t>
        </is>
      </c>
      <c r="C26" s="31" t="inlineStr">
        <is>
          <t>Index</t>
        </is>
      </c>
      <c r="D26" s="33" t="n"/>
      <c r="E26" s="26" t="n"/>
      <c r="F26" s="33" t="n"/>
      <c r="G26" s="27" t="n"/>
      <c r="H26" s="27" t="n"/>
      <c r="I26" s="28" t="n"/>
      <c r="J26" s="28" t="n"/>
      <c r="K26" s="29" t="n"/>
      <c r="L26" s="29" t="n"/>
      <c r="M26" s="30" t="n"/>
      <c r="N26" s="30" t="n"/>
      <c r="O26" s="21">
        <f>IF(OR(G26="",H26="",E26=""),"",IF(AND(E26&gt;=G26,E26&lt;=H26),TRUE(),FALSE()))</f>
        <v/>
      </c>
      <c r="P26" s="21">
        <f>IF(OR(I26="",J26="",E26=""),"",IF(AND(E26&gt;=I26,E26&lt;=J26),TRUE(),FALSE()))</f>
        <v/>
      </c>
      <c r="Q26" s="21">
        <f>IF(OR(K26="",L26="",E26=""),"",IF(AND(E26&gt;=K26,E26&lt;=L26),TRUE(),FALSE()))</f>
        <v/>
      </c>
      <c r="R26" s="21">
        <f>IF(OR(M26="",N26="",E26=""),"",IF(AND(E26&gt;=M26,E26&lt;=N26),TRUE(),FALSE()))</f>
        <v/>
      </c>
      <c r="S26" s="31" t="n"/>
    </row>
    <row r="27">
      <c r="A27" s="32" t="n"/>
      <c r="B27" s="14" t="inlineStr">
        <is>
          <t>QQQ</t>
        </is>
      </c>
      <c r="C27" s="31" t="inlineStr">
        <is>
          <t>ETF</t>
        </is>
      </c>
      <c r="D27" s="33" t="n"/>
      <c r="E27" s="26" t="n"/>
      <c r="F27" s="33" t="n"/>
      <c r="G27" s="27" t="n"/>
      <c r="H27" s="27" t="n"/>
      <c r="I27" s="28" t="n"/>
      <c r="J27" s="28" t="n"/>
      <c r="K27" s="29" t="n"/>
      <c r="L27" s="29" t="n"/>
      <c r="M27" s="30" t="n"/>
      <c r="N27" s="30" t="n"/>
      <c r="O27" s="21">
        <f>IF(OR(G27="",H27="",E27=""),"",IF(AND(E27&gt;=G27,E27&lt;=H27),TRUE(),FALSE()))</f>
        <v/>
      </c>
      <c r="P27" s="21">
        <f>IF(OR(I27="",J27="",E27=""),"",IF(AND(E27&gt;=I27,E27&lt;=J27),TRUE(),FALSE()))</f>
        <v/>
      </c>
      <c r="Q27" s="21">
        <f>IF(OR(K27="",L27="",E27=""),"",IF(AND(E27&gt;=K27,E27&lt;=L27),TRUE(),FALSE()))</f>
        <v/>
      </c>
      <c r="R27" s="21">
        <f>IF(OR(M27="",N27="",E27=""),"",IF(AND(E27&gt;=M27,E27&lt;=N27),TRUE(),FALSE()))</f>
        <v/>
      </c>
      <c r="S27" s="31" t="n"/>
    </row>
    <row r="28">
      <c r="A28" s="32" t="n"/>
      <c r="B28" s="14" t="inlineStr">
        <is>
          <t>AMZN</t>
        </is>
      </c>
      <c r="C28" s="31" t="inlineStr">
        <is>
          <t>Stock</t>
        </is>
      </c>
      <c r="D28" s="33" t="n"/>
      <c r="E28" s="26" t="n"/>
      <c r="F28" s="33" t="n"/>
      <c r="G28" s="27" t="n"/>
      <c r="H28" s="27" t="n"/>
      <c r="I28" s="28" t="n"/>
      <c r="J28" s="28" t="n"/>
      <c r="K28" s="29" t="n"/>
      <c r="L28" s="29" t="n"/>
      <c r="M28" s="30" t="n"/>
      <c r="N28" s="30" t="n"/>
      <c r="O28" s="21">
        <f>IF(OR(G28="",H28="",E28=""),"",IF(AND(E28&gt;=G28,E28&lt;=H28),TRUE(),FALSE()))</f>
        <v/>
      </c>
      <c r="P28" s="21">
        <f>IF(OR(I28="",J28="",E28=""),"",IF(AND(E28&gt;=I28,E28&lt;=J28),TRUE(),FALSE()))</f>
        <v/>
      </c>
      <c r="Q28" s="21">
        <f>IF(OR(K28="",L28="",E28=""),"",IF(AND(E28&gt;=K28,E28&lt;=L28),TRUE(),FALSE()))</f>
        <v/>
      </c>
      <c r="R28" s="21">
        <f>IF(OR(M28="",N28="",E28=""),"",IF(AND(E28&gt;=M28,E28&lt;=N28),TRUE(),FALSE()))</f>
        <v/>
      </c>
      <c r="S28" s="31" t="n"/>
    </row>
    <row r="29">
      <c r="A29" s="32" t="n"/>
      <c r="B29" s="14" t="inlineStr">
        <is>
          <t>AMD</t>
        </is>
      </c>
      <c r="C29" s="31" t="inlineStr">
        <is>
          <t>Stock</t>
        </is>
      </c>
      <c r="D29" s="33" t="n"/>
      <c r="E29" s="26" t="n"/>
      <c r="F29" s="33" t="n"/>
      <c r="G29" s="27" t="n"/>
      <c r="H29" s="27" t="n"/>
      <c r="I29" s="28" t="n"/>
      <c r="J29" s="28" t="n"/>
      <c r="K29" s="29" t="n"/>
      <c r="L29" s="29" t="n"/>
      <c r="M29" s="30" t="n"/>
      <c r="N29" s="30" t="n"/>
      <c r="O29" s="21">
        <f>IF(OR(G29="",H29="",E29=""),"",IF(AND(E29&gt;=G29,E29&lt;=H29),TRUE(),FALSE()))</f>
        <v/>
      </c>
      <c r="P29" s="21">
        <f>IF(OR(I29="",J29="",E29=""),"",IF(AND(E29&gt;=I29,E29&lt;=J29),TRUE(),FALSE()))</f>
        <v/>
      </c>
      <c r="Q29" s="21">
        <f>IF(OR(K29="",L29="",E29=""),"",IF(AND(E29&gt;=K29,E29&lt;=L29),TRUE(),FALSE()))</f>
        <v/>
      </c>
      <c r="R29" s="21">
        <f>IF(OR(M29="",N29="",E29=""),"",IF(AND(E29&gt;=M29,E29&lt;=N29),TRUE(),FALSE()))</f>
        <v/>
      </c>
      <c r="S29" s="31" t="n"/>
    </row>
    <row r="30">
      <c r="A30" s="22" t="n"/>
      <c r="B30" s="23" t="inlineStr">
        <is>
          <t>SPX</t>
        </is>
      </c>
      <c r="C30" s="24" t="inlineStr">
        <is>
          <t>Index</t>
        </is>
      </c>
      <c r="D30" s="25" t="n"/>
      <c r="E30" s="26" t="n"/>
      <c r="F30" s="25" t="n"/>
      <c r="G30" s="27" t="n"/>
      <c r="H30" s="27" t="n"/>
      <c r="I30" s="28" t="n"/>
      <c r="J30" s="28" t="n"/>
      <c r="K30" s="29" t="n"/>
      <c r="L30" s="29" t="n"/>
      <c r="M30" s="30" t="n"/>
      <c r="N30" s="30" t="n"/>
      <c r="O30" s="21">
        <f>IF(OR(G30="",H30="",E30=""),"",IF(AND(E30&gt;=G30,E30&lt;=H30),TRUE(),FALSE()))</f>
        <v/>
      </c>
      <c r="P30" s="21">
        <f>IF(OR(I30="",J30="",E30=""),"",IF(AND(E30&gt;=I30,E30&lt;=J30),TRUE(),FALSE()))</f>
        <v/>
      </c>
      <c r="Q30" s="21">
        <f>IF(OR(K30="",L30="",E30=""),"",IF(AND(E30&gt;=K30,E30&lt;=L30),TRUE(),FALSE()))</f>
        <v/>
      </c>
      <c r="R30" s="21">
        <f>IF(OR(M30="",N30="",E30=""),"",IF(AND(E30&gt;=M30,E30&lt;=N30),TRUE(),FALSE()))</f>
        <v/>
      </c>
      <c r="S30" s="31" t="n"/>
    </row>
    <row r="31">
      <c r="A31" s="22" t="n"/>
      <c r="B31" s="23" t="inlineStr">
        <is>
          <t>QQQ</t>
        </is>
      </c>
      <c r="C31" s="24" t="inlineStr">
        <is>
          <t>ETF</t>
        </is>
      </c>
      <c r="D31" s="25" t="n"/>
      <c r="E31" s="26" t="n"/>
      <c r="F31" s="25" t="n"/>
      <c r="G31" s="27" t="n"/>
      <c r="H31" s="27" t="n"/>
      <c r="I31" s="28" t="n"/>
      <c r="J31" s="28" t="n"/>
      <c r="K31" s="29" t="n"/>
      <c r="L31" s="29" t="n"/>
      <c r="M31" s="30" t="n"/>
      <c r="N31" s="30" t="n"/>
      <c r="O31" s="21">
        <f>IF(OR(G31="",H31="",E31=""),"",IF(AND(E31&gt;=G31,E31&lt;=H31),TRUE(),FALSE()))</f>
        <v/>
      </c>
      <c r="P31" s="21">
        <f>IF(OR(I31="",J31="",E31=""),"",IF(AND(E31&gt;=I31,E31&lt;=J31),TRUE(),FALSE()))</f>
        <v/>
      </c>
      <c r="Q31" s="21">
        <f>IF(OR(K31="",L31="",E31=""),"",IF(AND(E31&gt;=K31,E31&lt;=L31),TRUE(),FALSE()))</f>
        <v/>
      </c>
      <c r="R31" s="21">
        <f>IF(OR(M31="",N31="",E31=""),"",IF(AND(E31&gt;=M31,E31&lt;=N31),TRUE(),FALSE()))</f>
        <v/>
      </c>
      <c r="S31" s="31" t="n"/>
    </row>
    <row r="32">
      <c r="A32" s="22" t="n"/>
      <c r="B32" s="23" t="inlineStr">
        <is>
          <t>AMZN</t>
        </is>
      </c>
      <c r="C32" s="24" t="inlineStr">
        <is>
          <t>Stock</t>
        </is>
      </c>
      <c r="D32" s="25" t="n"/>
      <c r="E32" s="26" t="n"/>
      <c r="F32" s="25" t="n"/>
      <c r="G32" s="27" t="n"/>
      <c r="H32" s="27" t="n"/>
      <c r="I32" s="28" t="n"/>
      <c r="J32" s="28" t="n"/>
      <c r="K32" s="29" t="n"/>
      <c r="L32" s="29" t="n"/>
      <c r="M32" s="30" t="n"/>
      <c r="N32" s="30" t="n"/>
      <c r="O32" s="21">
        <f>IF(OR(G32="",H32="",E32=""),"",IF(AND(E32&gt;=G32,E32&lt;=H32),TRUE(),FALSE()))</f>
        <v/>
      </c>
      <c r="P32" s="21">
        <f>IF(OR(I32="",J32="",E32=""),"",IF(AND(E32&gt;=I32,E32&lt;=J32),TRUE(),FALSE()))</f>
        <v/>
      </c>
      <c r="Q32" s="21">
        <f>IF(OR(K32="",L32="",E32=""),"",IF(AND(E32&gt;=K32,E32&lt;=L32),TRUE(),FALSE()))</f>
        <v/>
      </c>
      <c r="R32" s="21">
        <f>IF(OR(M32="",N32="",E32=""),"",IF(AND(E32&gt;=M32,E32&lt;=N32),TRUE(),FALSE()))</f>
        <v/>
      </c>
      <c r="S32" s="31" t="n"/>
    </row>
    <row r="33">
      <c r="A33" s="22" t="n"/>
      <c r="B33" s="23" t="inlineStr">
        <is>
          <t>AMD</t>
        </is>
      </c>
      <c r="C33" s="24" t="inlineStr">
        <is>
          <t>Stock</t>
        </is>
      </c>
      <c r="D33" s="25" t="n"/>
      <c r="E33" s="26" t="n"/>
      <c r="F33" s="25" t="n"/>
      <c r="G33" s="27" t="n"/>
      <c r="H33" s="27" t="n"/>
      <c r="I33" s="28" t="n"/>
      <c r="J33" s="28" t="n"/>
      <c r="K33" s="29" t="n"/>
      <c r="L33" s="29" t="n"/>
      <c r="M33" s="30" t="n"/>
      <c r="N33" s="30" t="n"/>
      <c r="O33" s="21">
        <f>IF(OR(G33="",H33="",E33=""),"",IF(AND(E33&gt;=G33,E33&lt;=H33),TRUE(),FALSE()))</f>
        <v/>
      </c>
      <c r="P33" s="21">
        <f>IF(OR(I33="",J33="",E33=""),"",IF(AND(E33&gt;=I33,E33&lt;=J33),TRUE(),FALSE()))</f>
        <v/>
      </c>
      <c r="Q33" s="21">
        <f>IF(OR(K33="",L33="",E33=""),"",IF(AND(E33&gt;=K33,E33&lt;=L33),TRUE(),FALSE()))</f>
        <v/>
      </c>
      <c r="R33" s="21">
        <f>IF(OR(M33="",N33="",E33=""),"",IF(AND(E33&gt;=M33,E33&lt;=N33),TRUE(),FALSE()))</f>
        <v/>
      </c>
      <c r="S33" s="31" t="n"/>
    </row>
    <row r="34">
      <c r="A34" s="32" t="n"/>
      <c r="B34" s="14" t="inlineStr">
        <is>
          <t>SPX</t>
        </is>
      </c>
      <c r="C34" s="31" t="inlineStr">
        <is>
          <t>Index</t>
        </is>
      </c>
      <c r="D34" s="33" t="n"/>
      <c r="E34" s="26" t="n"/>
      <c r="F34" s="33" t="n"/>
      <c r="G34" s="27" t="n"/>
      <c r="H34" s="27" t="n"/>
      <c r="I34" s="28" t="n"/>
      <c r="J34" s="28" t="n"/>
      <c r="K34" s="29" t="n"/>
      <c r="L34" s="29" t="n"/>
      <c r="M34" s="30" t="n"/>
      <c r="N34" s="30" t="n"/>
      <c r="O34" s="21">
        <f>IF(OR(G34="",H34="",E34=""),"",IF(AND(E34&gt;=G34,E34&lt;=H34),TRUE(),FALSE()))</f>
        <v/>
      </c>
      <c r="P34" s="21">
        <f>IF(OR(I34="",J34="",E34=""),"",IF(AND(E34&gt;=I34,E34&lt;=J34),TRUE(),FALSE()))</f>
        <v/>
      </c>
      <c r="Q34" s="21">
        <f>IF(OR(K34="",L34="",E34=""),"",IF(AND(E34&gt;=K34,E34&lt;=L34),TRUE(),FALSE()))</f>
        <v/>
      </c>
      <c r="R34" s="21">
        <f>IF(OR(M34="",N34="",E34=""),"",IF(AND(E34&gt;=M34,E34&lt;=N34),TRUE(),FALSE()))</f>
        <v/>
      </c>
      <c r="S34" s="31" t="n"/>
    </row>
    <row r="35">
      <c r="A35" s="32" t="n"/>
      <c r="B35" s="14" t="inlineStr">
        <is>
          <t>QQQ</t>
        </is>
      </c>
      <c r="C35" s="31" t="inlineStr">
        <is>
          <t>ETF</t>
        </is>
      </c>
      <c r="D35" s="33" t="n"/>
      <c r="E35" s="26" t="n"/>
      <c r="F35" s="33" t="n"/>
      <c r="G35" s="27" t="n"/>
      <c r="H35" s="27" t="n"/>
      <c r="I35" s="28" t="n"/>
      <c r="J35" s="28" t="n"/>
      <c r="K35" s="29" t="n"/>
      <c r="L35" s="29" t="n"/>
      <c r="M35" s="30" t="n"/>
      <c r="N35" s="30" t="n"/>
      <c r="O35" s="21">
        <f>IF(OR(G35="",H35="",E35=""),"",IF(AND(E35&gt;=G35,E35&lt;=H35),TRUE(),FALSE()))</f>
        <v/>
      </c>
      <c r="P35" s="21">
        <f>IF(OR(I35="",J35="",E35=""),"",IF(AND(E35&gt;=I35,E35&lt;=J35),TRUE(),FALSE()))</f>
        <v/>
      </c>
      <c r="Q35" s="21">
        <f>IF(OR(K35="",L35="",E35=""),"",IF(AND(E35&gt;=K35,E35&lt;=L35),TRUE(),FALSE()))</f>
        <v/>
      </c>
      <c r="R35" s="21">
        <f>IF(OR(M35="",N35="",E35=""),"",IF(AND(E35&gt;=M35,E35&lt;=N35),TRUE(),FALSE()))</f>
        <v/>
      </c>
      <c r="S35" s="31" t="n"/>
    </row>
    <row r="36">
      <c r="A36" s="32" t="n"/>
      <c r="B36" s="14" t="inlineStr">
        <is>
          <t>AMZN</t>
        </is>
      </c>
      <c r="C36" s="31" t="inlineStr">
        <is>
          <t>Stock</t>
        </is>
      </c>
      <c r="D36" s="33" t="n"/>
      <c r="E36" s="26" t="n"/>
      <c r="F36" s="33" t="n"/>
      <c r="G36" s="27" t="n"/>
      <c r="H36" s="27" t="n"/>
      <c r="I36" s="28" t="n"/>
      <c r="J36" s="28" t="n"/>
      <c r="K36" s="29" t="n"/>
      <c r="L36" s="29" t="n"/>
      <c r="M36" s="30" t="n"/>
      <c r="N36" s="30" t="n"/>
      <c r="O36" s="21">
        <f>IF(OR(G36="",H36="",E36=""),"",IF(AND(E36&gt;=G36,E36&lt;=H36),TRUE(),FALSE()))</f>
        <v/>
      </c>
      <c r="P36" s="21">
        <f>IF(OR(I36="",J36="",E36=""),"",IF(AND(E36&gt;=I36,E36&lt;=J36),TRUE(),FALSE()))</f>
        <v/>
      </c>
      <c r="Q36" s="21">
        <f>IF(OR(K36="",L36="",E36=""),"",IF(AND(E36&gt;=K36,E36&lt;=L36),TRUE(),FALSE()))</f>
        <v/>
      </c>
      <c r="R36" s="21">
        <f>IF(OR(M36="",N36="",E36=""),"",IF(AND(E36&gt;=M36,E36&lt;=N36),TRUE(),FALSE()))</f>
        <v/>
      </c>
      <c r="S36" s="31" t="n"/>
    </row>
    <row r="37">
      <c r="A37" s="32" t="n"/>
      <c r="B37" s="14" t="inlineStr">
        <is>
          <t>AMD</t>
        </is>
      </c>
      <c r="C37" s="31" t="inlineStr">
        <is>
          <t>Stock</t>
        </is>
      </c>
      <c r="D37" s="33" t="n"/>
      <c r="E37" s="26" t="n"/>
      <c r="F37" s="33" t="n"/>
      <c r="G37" s="27" t="n"/>
      <c r="H37" s="27" t="n"/>
      <c r="I37" s="28" t="n"/>
      <c r="J37" s="28" t="n"/>
      <c r="K37" s="29" t="n"/>
      <c r="L37" s="29" t="n"/>
      <c r="M37" s="30" t="n"/>
      <c r="N37" s="30" t="n"/>
      <c r="O37" s="21">
        <f>IF(OR(G37="",H37="",E37=""),"",IF(AND(E37&gt;=G37,E37&lt;=H37),TRUE(),FALSE()))</f>
        <v/>
      </c>
      <c r="P37" s="21">
        <f>IF(OR(I37="",J37="",E37=""),"",IF(AND(E37&gt;=I37,E37&lt;=J37),TRUE(),FALSE()))</f>
        <v/>
      </c>
      <c r="Q37" s="21">
        <f>IF(OR(K37="",L37="",E37=""),"",IF(AND(E37&gt;=K37,E37&lt;=L37),TRUE(),FALSE()))</f>
        <v/>
      </c>
      <c r="R37" s="21">
        <f>IF(OR(M37="",N37="",E37=""),"",IF(AND(E37&gt;=M37,E37&lt;=N37),TRUE(),FALSE()))</f>
        <v/>
      </c>
      <c r="S37" s="31" t="n"/>
    </row>
    <row r="38">
      <c r="A38" s="22" t="n"/>
      <c r="B38" s="23" t="inlineStr">
        <is>
          <t>SPX</t>
        </is>
      </c>
      <c r="C38" s="24" t="inlineStr">
        <is>
          <t>Index</t>
        </is>
      </c>
      <c r="D38" s="25" t="n"/>
      <c r="E38" s="26" t="n"/>
      <c r="F38" s="25" t="n"/>
      <c r="G38" s="27" t="n"/>
      <c r="H38" s="27" t="n"/>
      <c r="I38" s="28" t="n"/>
      <c r="J38" s="28" t="n"/>
      <c r="K38" s="29" t="n"/>
      <c r="L38" s="29" t="n"/>
      <c r="M38" s="30" t="n"/>
      <c r="N38" s="30" t="n"/>
      <c r="O38" s="21">
        <f>IF(OR(G38="",H38="",E38=""),"",IF(AND(E38&gt;=G38,E38&lt;=H38),TRUE(),FALSE()))</f>
        <v/>
      </c>
      <c r="P38" s="21">
        <f>IF(OR(I38="",J38="",E38=""),"",IF(AND(E38&gt;=I38,E38&lt;=J38),TRUE(),FALSE()))</f>
        <v/>
      </c>
      <c r="Q38" s="21">
        <f>IF(OR(K38="",L38="",E38=""),"",IF(AND(E38&gt;=K38,E38&lt;=L38),TRUE(),FALSE()))</f>
        <v/>
      </c>
      <c r="R38" s="21">
        <f>IF(OR(M38="",N38="",E38=""),"",IF(AND(E38&gt;=M38,E38&lt;=N38),TRUE(),FALSE()))</f>
        <v/>
      </c>
      <c r="S38" s="31" t="n"/>
    </row>
    <row r="39">
      <c r="A39" s="22" t="n"/>
      <c r="B39" s="23" t="inlineStr">
        <is>
          <t>QQQ</t>
        </is>
      </c>
      <c r="C39" s="24" t="inlineStr">
        <is>
          <t>ETF</t>
        </is>
      </c>
      <c r="D39" s="25" t="n"/>
      <c r="E39" s="26" t="n"/>
      <c r="F39" s="25" t="n"/>
      <c r="G39" s="27" t="n"/>
      <c r="H39" s="27" t="n"/>
      <c r="I39" s="28" t="n"/>
      <c r="J39" s="28" t="n"/>
      <c r="K39" s="29" t="n"/>
      <c r="L39" s="29" t="n"/>
      <c r="M39" s="30" t="n"/>
      <c r="N39" s="30" t="n"/>
      <c r="O39" s="21">
        <f>IF(OR(G39="",H39="",E39=""),"",IF(AND(E39&gt;=G39,E39&lt;=H39),TRUE(),FALSE()))</f>
        <v/>
      </c>
      <c r="P39" s="21">
        <f>IF(OR(I39="",J39="",E39=""),"",IF(AND(E39&gt;=I39,E39&lt;=J39),TRUE(),FALSE()))</f>
        <v/>
      </c>
      <c r="Q39" s="21">
        <f>IF(OR(K39="",L39="",E39=""),"",IF(AND(E39&gt;=K39,E39&lt;=L39),TRUE(),FALSE()))</f>
        <v/>
      </c>
      <c r="R39" s="21">
        <f>IF(OR(M39="",N39="",E39=""),"",IF(AND(E39&gt;=M39,E39&lt;=N39),TRUE(),FALSE()))</f>
        <v/>
      </c>
      <c r="S39" s="31" t="n"/>
    </row>
    <row r="40">
      <c r="A40" s="22" t="n"/>
      <c r="B40" s="23" t="inlineStr">
        <is>
          <t>AMZN</t>
        </is>
      </c>
      <c r="C40" s="24" t="inlineStr">
        <is>
          <t>Stock</t>
        </is>
      </c>
      <c r="D40" s="25" t="n"/>
      <c r="E40" s="26" t="n"/>
      <c r="F40" s="25" t="n"/>
      <c r="G40" s="27" t="n"/>
      <c r="H40" s="27" t="n"/>
      <c r="I40" s="28" t="n"/>
      <c r="J40" s="28" t="n"/>
      <c r="K40" s="29" t="n"/>
      <c r="L40" s="29" t="n"/>
      <c r="M40" s="30" t="n"/>
      <c r="N40" s="30" t="n"/>
      <c r="O40" s="21">
        <f>IF(OR(G40="",H40="",E40=""),"",IF(AND(E40&gt;=G40,E40&lt;=H40),TRUE(),FALSE()))</f>
        <v/>
      </c>
      <c r="P40" s="21">
        <f>IF(OR(I40="",J40="",E40=""),"",IF(AND(E40&gt;=I40,E40&lt;=J40),TRUE(),FALSE()))</f>
        <v/>
      </c>
      <c r="Q40" s="21">
        <f>IF(OR(K40="",L40="",E40=""),"",IF(AND(E40&gt;=K40,E40&lt;=L40),TRUE(),FALSE()))</f>
        <v/>
      </c>
      <c r="R40" s="21">
        <f>IF(OR(M40="",N40="",E40=""),"",IF(AND(E40&gt;=M40,E40&lt;=N40),TRUE(),FALSE()))</f>
        <v/>
      </c>
      <c r="S40" s="31" t="n"/>
    </row>
    <row r="41">
      <c r="A41" s="22" t="n"/>
      <c r="B41" s="23" t="inlineStr">
        <is>
          <t>AMD</t>
        </is>
      </c>
      <c r="C41" s="24" t="inlineStr">
        <is>
          <t>Stock</t>
        </is>
      </c>
      <c r="D41" s="25" t="n"/>
      <c r="E41" s="26" t="n"/>
      <c r="F41" s="25" t="n"/>
      <c r="G41" s="27" t="n"/>
      <c r="H41" s="27" t="n"/>
      <c r="I41" s="28" t="n"/>
      <c r="J41" s="28" t="n"/>
      <c r="K41" s="29" t="n"/>
      <c r="L41" s="29" t="n"/>
      <c r="M41" s="30" t="n"/>
      <c r="N41" s="30" t="n"/>
      <c r="O41" s="21">
        <f>IF(OR(G41="",H41="",E41=""),"",IF(AND(E41&gt;=G41,E41&lt;=H41),TRUE(),FALSE()))</f>
        <v/>
      </c>
      <c r="P41" s="21">
        <f>IF(OR(I41="",J41="",E41=""),"",IF(AND(E41&gt;=I41,E41&lt;=J41),TRUE(),FALSE()))</f>
        <v/>
      </c>
      <c r="Q41" s="21">
        <f>IF(OR(K41="",L41="",E41=""),"",IF(AND(E41&gt;=K41,E41&lt;=L41),TRUE(),FALSE()))</f>
        <v/>
      </c>
      <c r="R41" s="21">
        <f>IF(OR(M41="",N41="",E41=""),"",IF(AND(E41&gt;=M41,E41&lt;=N41),TRUE(),FALSE()))</f>
        <v/>
      </c>
      <c r="S41" s="31" t="n"/>
    </row>
    <row r="42">
      <c r="A42" s="32" t="n"/>
      <c r="B42" s="14" t="inlineStr">
        <is>
          <t>SPX</t>
        </is>
      </c>
      <c r="C42" s="31" t="inlineStr">
        <is>
          <t>Index</t>
        </is>
      </c>
      <c r="D42" s="33" t="n"/>
      <c r="E42" s="26" t="n"/>
      <c r="F42" s="33" t="n"/>
      <c r="G42" s="27" t="n"/>
      <c r="H42" s="27" t="n"/>
      <c r="I42" s="28" t="n"/>
      <c r="J42" s="28" t="n"/>
      <c r="K42" s="29" t="n"/>
      <c r="L42" s="29" t="n"/>
      <c r="M42" s="30" t="n"/>
      <c r="N42" s="30" t="n"/>
      <c r="O42" s="21">
        <f>IF(OR(G42="",H42="",E42=""),"",IF(AND(E42&gt;=G42,E42&lt;=H42),TRUE(),FALSE()))</f>
        <v/>
      </c>
      <c r="P42" s="21">
        <f>IF(OR(I42="",J42="",E42=""),"",IF(AND(E42&gt;=I42,E42&lt;=J42),TRUE(),FALSE()))</f>
        <v/>
      </c>
      <c r="Q42" s="21">
        <f>IF(OR(K42="",L42="",E42=""),"",IF(AND(E42&gt;=K42,E42&lt;=L42),TRUE(),FALSE()))</f>
        <v/>
      </c>
      <c r="R42" s="21">
        <f>IF(OR(M42="",N42="",E42=""),"",IF(AND(E42&gt;=M42,E42&lt;=N42),TRUE(),FALSE()))</f>
        <v/>
      </c>
      <c r="S42" s="31" t="n"/>
    </row>
    <row r="43">
      <c r="A43" s="32" t="n"/>
      <c r="B43" s="14" t="inlineStr">
        <is>
          <t>QQQ</t>
        </is>
      </c>
      <c r="C43" s="31" t="inlineStr">
        <is>
          <t>ETF</t>
        </is>
      </c>
      <c r="D43" s="33" t="n"/>
      <c r="E43" s="26" t="n"/>
      <c r="F43" s="33" t="n"/>
      <c r="G43" s="27" t="n"/>
      <c r="H43" s="27" t="n"/>
      <c r="I43" s="28" t="n"/>
      <c r="J43" s="28" t="n"/>
      <c r="K43" s="29" t="n"/>
      <c r="L43" s="29" t="n"/>
      <c r="M43" s="30" t="n"/>
      <c r="N43" s="30" t="n"/>
      <c r="O43" s="21">
        <f>IF(OR(G43="",H43="",E43=""),"",IF(AND(E43&gt;=G43,E43&lt;=H43),TRUE(),FALSE()))</f>
        <v/>
      </c>
      <c r="P43" s="21">
        <f>IF(OR(I43="",J43="",E43=""),"",IF(AND(E43&gt;=I43,E43&lt;=J43),TRUE(),FALSE()))</f>
        <v/>
      </c>
      <c r="Q43" s="21">
        <f>IF(OR(K43="",L43="",E43=""),"",IF(AND(E43&gt;=K43,E43&lt;=L43),TRUE(),FALSE()))</f>
        <v/>
      </c>
      <c r="R43" s="21">
        <f>IF(OR(M43="",N43="",E43=""),"",IF(AND(E43&gt;=M43,E43&lt;=N43),TRUE(),FALSE()))</f>
        <v/>
      </c>
      <c r="S43" s="31" t="n"/>
    </row>
    <row r="44">
      <c r="A44" s="32" t="n"/>
      <c r="B44" s="14" t="inlineStr">
        <is>
          <t>AMZN</t>
        </is>
      </c>
      <c r="C44" s="31" t="inlineStr">
        <is>
          <t>Stock</t>
        </is>
      </c>
      <c r="D44" s="33" t="n"/>
      <c r="E44" s="26" t="n"/>
      <c r="F44" s="33" t="n"/>
      <c r="G44" s="27" t="n"/>
      <c r="H44" s="27" t="n"/>
      <c r="I44" s="28" t="n"/>
      <c r="J44" s="28" t="n"/>
      <c r="K44" s="29" t="n"/>
      <c r="L44" s="29" t="n"/>
      <c r="M44" s="30" t="n"/>
      <c r="N44" s="30" t="n"/>
      <c r="O44" s="21">
        <f>IF(OR(G44="",H44="",E44=""),"",IF(AND(E44&gt;=G44,E44&lt;=H44),TRUE(),FALSE()))</f>
        <v/>
      </c>
      <c r="P44" s="21">
        <f>IF(OR(I44="",J44="",E44=""),"",IF(AND(E44&gt;=I44,E44&lt;=J44),TRUE(),FALSE()))</f>
        <v/>
      </c>
      <c r="Q44" s="21">
        <f>IF(OR(K44="",L44="",E44=""),"",IF(AND(E44&gt;=K44,E44&lt;=L44),TRUE(),FALSE()))</f>
        <v/>
      </c>
      <c r="R44" s="21">
        <f>IF(OR(M44="",N44="",E44=""),"",IF(AND(E44&gt;=M44,E44&lt;=N44),TRUE(),FALSE()))</f>
        <v/>
      </c>
      <c r="S44" s="31" t="n"/>
    </row>
    <row r="45">
      <c r="A45" s="32" t="n"/>
      <c r="B45" s="14" t="inlineStr">
        <is>
          <t>AMD</t>
        </is>
      </c>
      <c r="C45" s="31" t="inlineStr">
        <is>
          <t>Stock</t>
        </is>
      </c>
      <c r="D45" s="33" t="n"/>
      <c r="E45" s="26" t="n"/>
      <c r="F45" s="33" t="n"/>
      <c r="G45" s="27" t="n"/>
      <c r="H45" s="27" t="n"/>
      <c r="I45" s="28" t="n"/>
      <c r="J45" s="28" t="n"/>
      <c r="K45" s="29" t="n"/>
      <c r="L45" s="29" t="n"/>
      <c r="M45" s="30" t="n"/>
      <c r="N45" s="30" t="n"/>
      <c r="O45" s="21">
        <f>IF(OR(G45="",H45="",E45=""),"",IF(AND(E45&gt;=G45,E45&lt;=H45),TRUE(),FALSE()))</f>
        <v/>
      </c>
      <c r="P45" s="21">
        <f>IF(OR(I45="",J45="",E45=""),"",IF(AND(E45&gt;=I45,E45&lt;=J45),TRUE(),FALSE()))</f>
        <v/>
      </c>
      <c r="Q45" s="21">
        <f>IF(OR(K45="",L45="",E45=""),"",IF(AND(E45&gt;=K45,E45&lt;=L45),TRUE(),FALSE()))</f>
        <v/>
      </c>
      <c r="R45" s="21">
        <f>IF(OR(M45="",N45="",E45=""),"",IF(AND(E45&gt;=M45,E45&lt;=N45),TRUE(),FALSE()))</f>
        <v/>
      </c>
      <c r="S45" s="31" t="n"/>
    </row>
    <row r="46">
      <c r="A46" s="22" t="n"/>
      <c r="B46" s="23" t="inlineStr">
        <is>
          <t>SPX</t>
        </is>
      </c>
      <c r="C46" s="24" t="inlineStr">
        <is>
          <t>Index</t>
        </is>
      </c>
      <c r="D46" s="25" t="n"/>
      <c r="E46" s="26" t="n"/>
      <c r="F46" s="25" t="n"/>
      <c r="G46" s="27" t="n"/>
      <c r="H46" s="27" t="n"/>
      <c r="I46" s="28" t="n"/>
      <c r="J46" s="28" t="n"/>
      <c r="K46" s="29" t="n"/>
      <c r="L46" s="29" t="n"/>
      <c r="M46" s="30" t="n"/>
      <c r="N46" s="30" t="n"/>
      <c r="O46" s="21">
        <f>IF(OR(G46="",H46="",E46=""),"",IF(AND(E46&gt;=G46,E46&lt;=H46),TRUE(),FALSE()))</f>
        <v/>
      </c>
      <c r="P46" s="21">
        <f>IF(OR(I46="",J46="",E46=""),"",IF(AND(E46&gt;=I46,E46&lt;=J46),TRUE(),FALSE()))</f>
        <v/>
      </c>
      <c r="Q46" s="21">
        <f>IF(OR(K46="",L46="",E46=""),"",IF(AND(E46&gt;=K46,E46&lt;=L46),TRUE(),FALSE()))</f>
        <v/>
      </c>
      <c r="R46" s="21">
        <f>IF(OR(M46="",N46="",E46=""),"",IF(AND(E46&gt;=M46,E46&lt;=N46),TRUE(),FALSE()))</f>
        <v/>
      </c>
      <c r="S46" s="31" t="n"/>
    </row>
    <row r="47">
      <c r="A47" s="22" t="n"/>
      <c r="B47" s="23" t="inlineStr">
        <is>
          <t>QQQ</t>
        </is>
      </c>
      <c r="C47" s="24" t="inlineStr">
        <is>
          <t>ETF</t>
        </is>
      </c>
      <c r="D47" s="25" t="n"/>
      <c r="E47" s="26" t="n"/>
      <c r="F47" s="25" t="n"/>
      <c r="G47" s="27" t="n"/>
      <c r="H47" s="27" t="n"/>
      <c r="I47" s="28" t="n"/>
      <c r="J47" s="28" t="n"/>
      <c r="K47" s="29" t="n"/>
      <c r="L47" s="29" t="n"/>
      <c r="M47" s="30" t="n"/>
      <c r="N47" s="30" t="n"/>
      <c r="O47" s="21">
        <f>IF(OR(G47="",H47="",E47=""),"",IF(AND(E47&gt;=G47,E47&lt;=H47),TRUE(),FALSE()))</f>
        <v/>
      </c>
      <c r="P47" s="21">
        <f>IF(OR(I47="",J47="",E47=""),"",IF(AND(E47&gt;=I47,E47&lt;=J47),TRUE(),FALSE()))</f>
        <v/>
      </c>
      <c r="Q47" s="21">
        <f>IF(OR(K47="",L47="",E47=""),"",IF(AND(E47&gt;=K47,E47&lt;=L47),TRUE(),FALSE()))</f>
        <v/>
      </c>
      <c r="R47" s="21">
        <f>IF(OR(M47="",N47="",E47=""),"",IF(AND(E47&gt;=M47,E47&lt;=N47),TRUE(),FALSE()))</f>
        <v/>
      </c>
      <c r="S47" s="31" t="n"/>
    </row>
    <row r="48">
      <c r="A48" s="22" t="n"/>
      <c r="B48" s="23" t="inlineStr">
        <is>
          <t>AMZN</t>
        </is>
      </c>
      <c r="C48" s="24" t="inlineStr">
        <is>
          <t>Stock</t>
        </is>
      </c>
      <c r="D48" s="25" t="n"/>
      <c r="E48" s="26" t="n"/>
      <c r="F48" s="25" t="n"/>
      <c r="G48" s="27" t="n"/>
      <c r="H48" s="27" t="n"/>
      <c r="I48" s="28" t="n"/>
      <c r="J48" s="28" t="n"/>
      <c r="K48" s="29" t="n"/>
      <c r="L48" s="29" t="n"/>
      <c r="M48" s="30" t="n"/>
      <c r="N48" s="30" t="n"/>
      <c r="O48" s="21">
        <f>IF(OR(G48="",H48="",E48=""),"",IF(AND(E48&gt;=G48,E48&lt;=H48),TRUE(),FALSE()))</f>
        <v/>
      </c>
      <c r="P48" s="21">
        <f>IF(OR(I48="",J48="",E48=""),"",IF(AND(E48&gt;=I48,E48&lt;=J48),TRUE(),FALSE()))</f>
        <v/>
      </c>
      <c r="Q48" s="21">
        <f>IF(OR(K48="",L48="",E48=""),"",IF(AND(E48&gt;=K48,E48&lt;=L48),TRUE(),FALSE()))</f>
        <v/>
      </c>
      <c r="R48" s="21">
        <f>IF(OR(M48="",N48="",E48=""),"",IF(AND(E48&gt;=M48,E48&lt;=N48),TRUE(),FALSE()))</f>
        <v/>
      </c>
      <c r="S48" s="31" t="n"/>
    </row>
    <row r="49">
      <c r="A49" s="22" t="n"/>
      <c r="B49" s="23" t="inlineStr">
        <is>
          <t>AMD</t>
        </is>
      </c>
      <c r="C49" s="24" t="inlineStr">
        <is>
          <t>Stock</t>
        </is>
      </c>
      <c r="D49" s="25" t="n"/>
      <c r="E49" s="26" t="n"/>
      <c r="F49" s="25" t="n"/>
      <c r="G49" s="27" t="n"/>
      <c r="H49" s="27" t="n"/>
      <c r="I49" s="28" t="n"/>
      <c r="J49" s="28" t="n"/>
      <c r="K49" s="29" t="n"/>
      <c r="L49" s="29" t="n"/>
      <c r="M49" s="30" t="n"/>
      <c r="N49" s="30" t="n"/>
      <c r="O49" s="21">
        <f>IF(OR(G49="",H49="",E49=""),"",IF(AND(E49&gt;=G49,E49&lt;=H49),TRUE(),FALSE()))</f>
        <v/>
      </c>
      <c r="P49" s="21">
        <f>IF(OR(I49="",J49="",E49=""),"",IF(AND(E49&gt;=I49,E49&lt;=J49),TRUE(),FALSE()))</f>
        <v/>
      </c>
      <c r="Q49" s="21">
        <f>IF(OR(K49="",L49="",E49=""),"",IF(AND(E49&gt;=K49,E49&lt;=L49),TRUE(),FALSE()))</f>
        <v/>
      </c>
      <c r="R49" s="21">
        <f>IF(OR(M49="",N49="",E49=""),"",IF(AND(E49&gt;=M49,E49&lt;=N49),TRUE(),FALSE()))</f>
        <v/>
      </c>
      <c r="S49" s="31" t="n"/>
    </row>
    <row r="50">
      <c r="A50" s="32" t="n"/>
      <c r="B50" s="14" t="inlineStr">
        <is>
          <t>SPX</t>
        </is>
      </c>
      <c r="C50" s="31" t="inlineStr">
        <is>
          <t>Index</t>
        </is>
      </c>
      <c r="D50" s="33" t="n"/>
      <c r="E50" s="26" t="n"/>
      <c r="F50" s="33" t="n"/>
      <c r="G50" s="27" t="n"/>
      <c r="H50" s="27" t="n"/>
      <c r="I50" s="28" t="n"/>
      <c r="J50" s="28" t="n"/>
      <c r="K50" s="29" t="n"/>
      <c r="L50" s="29" t="n"/>
      <c r="M50" s="30" t="n"/>
      <c r="N50" s="30" t="n"/>
      <c r="O50" s="21">
        <f>IF(OR(G50="",H50="",E50=""),"",IF(AND(E50&gt;=G50,E50&lt;=H50),TRUE(),FALSE()))</f>
        <v/>
      </c>
      <c r="P50" s="21">
        <f>IF(OR(I50="",J50="",E50=""),"",IF(AND(E50&gt;=I50,E50&lt;=J50),TRUE(),FALSE()))</f>
        <v/>
      </c>
      <c r="Q50" s="21">
        <f>IF(OR(K50="",L50="",E50=""),"",IF(AND(E50&gt;=K50,E50&lt;=L50),TRUE(),FALSE()))</f>
        <v/>
      </c>
      <c r="R50" s="21">
        <f>IF(OR(M50="",N50="",E50=""),"",IF(AND(E50&gt;=M50,E50&lt;=N50),TRUE(),FALSE()))</f>
        <v/>
      </c>
      <c r="S50" s="31" t="n"/>
    </row>
    <row r="51">
      <c r="A51" s="32" t="n"/>
      <c r="B51" s="14" t="inlineStr">
        <is>
          <t>QQQ</t>
        </is>
      </c>
      <c r="C51" s="31" t="inlineStr">
        <is>
          <t>ETF</t>
        </is>
      </c>
      <c r="D51" s="33" t="n"/>
      <c r="E51" s="26" t="n"/>
      <c r="F51" s="33" t="n"/>
      <c r="G51" s="27" t="n"/>
      <c r="H51" s="27" t="n"/>
      <c r="I51" s="28" t="n"/>
      <c r="J51" s="28" t="n"/>
      <c r="K51" s="29" t="n"/>
      <c r="L51" s="29" t="n"/>
      <c r="M51" s="30" t="n"/>
      <c r="N51" s="30" t="n"/>
      <c r="O51" s="21">
        <f>IF(OR(G51="",H51="",E51=""),"",IF(AND(E51&gt;=G51,E51&lt;=H51),TRUE(),FALSE()))</f>
        <v/>
      </c>
      <c r="P51" s="21">
        <f>IF(OR(I51="",J51="",E51=""),"",IF(AND(E51&gt;=I51,E51&lt;=J51),TRUE(),FALSE()))</f>
        <v/>
      </c>
      <c r="Q51" s="21">
        <f>IF(OR(K51="",L51="",E51=""),"",IF(AND(E51&gt;=K51,E51&lt;=L51),TRUE(),FALSE()))</f>
        <v/>
      </c>
      <c r="R51" s="21">
        <f>IF(OR(M51="",N51="",E51=""),"",IF(AND(E51&gt;=M51,E51&lt;=N51),TRUE(),FALSE()))</f>
        <v/>
      </c>
      <c r="S51" s="31" t="n"/>
    </row>
    <row r="52">
      <c r="A52" s="32" t="n"/>
      <c r="B52" s="14" t="inlineStr">
        <is>
          <t>AMZN</t>
        </is>
      </c>
      <c r="C52" s="31" t="inlineStr">
        <is>
          <t>Stock</t>
        </is>
      </c>
      <c r="D52" s="33" t="n"/>
      <c r="E52" s="26" t="n"/>
      <c r="F52" s="33" t="n"/>
      <c r="G52" s="27" t="n"/>
      <c r="H52" s="27" t="n"/>
      <c r="I52" s="28" t="n"/>
      <c r="J52" s="28" t="n"/>
      <c r="K52" s="29" t="n"/>
      <c r="L52" s="29" t="n"/>
      <c r="M52" s="30" t="n"/>
      <c r="N52" s="30" t="n"/>
      <c r="O52" s="21">
        <f>IF(OR(G52="",H52="",E52=""),"",IF(AND(E52&gt;=G52,E52&lt;=H52),TRUE(),FALSE()))</f>
        <v/>
      </c>
      <c r="P52" s="21">
        <f>IF(OR(I52="",J52="",E52=""),"",IF(AND(E52&gt;=I52,E52&lt;=J52),TRUE(),FALSE()))</f>
        <v/>
      </c>
      <c r="Q52" s="21">
        <f>IF(OR(K52="",L52="",E52=""),"",IF(AND(E52&gt;=K52,E52&lt;=L52),TRUE(),FALSE()))</f>
        <v/>
      </c>
      <c r="R52" s="21">
        <f>IF(OR(M52="",N52="",E52=""),"",IF(AND(E52&gt;=M52,E52&lt;=N52),TRUE(),FALSE()))</f>
        <v/>
      </c>
      <c r="S52" s="31" t="n"/>
    </row>
    <row r="53">
      <c r="A53" s="32" t="n"/>
      <c r="B53" s="14" t="inlineStr">
        <is>
          <t>AMD</t>
        </is>
      </c>
      <c r="C53" s="31" t="inlineStr">
        <is>
          <t>Stock</t>
        </is>
      </c>
      <c r="D53" s="33" t="n"/>
      <c r="E53" s="26" t="n"/>
      <c r="F53" s="33" t="n"/>
      <c r="G53" s="27" t="n"/>
      <c r="H53" s="27" t="n"/>
      <c r="I53" s="28" t="n"/>
      <c r="J53" s="28" t="n"/>
      <c r="K53" s="29" t="n"/>
      <c r="L53" s="29" t="n"/>
      <c r="M53" s="30" t="n"/>
      <c r="N53" s="30" t="n"/>
      <c r="O53" s="21">
        <f>IF(OR(G53="",H53="",E53=""),"",IF(AND(E53&gt;=G53,E53&lt;=H53),TRUE(),FALSE()))</f>
        <v/>
      </c>
      <c r="P53" s="21">
        <f>IF(OR(I53="",J53="",E53=""),"",IF(AND(E53&gt;=I53,E53&lt;=J53),TRUE(),FALSE()))</f>
        <v/>
      </c>
      <c r="Q53" s="21">
        <f>IF(OR(K53="",L53="",E53=""),"",IF(AND(E53&gt;=K53,E53&lt;=L53),TRUE(),FALSE()))</f>
        <v/>
      </c>
      <c r="R53" s="21">
        <f>IF(OR(M53="",N53="",E53=""),"",IF(AND(E53&gt;=M53,E53&lt;=N53),TRUE(),FALSE()))</f>
        <v/>
      </c>
      <c r="S53" s="31" t="n"/>
    </row>
  </sheetData>
  <mergeCells count="8">
    <mergeCell ref="G4:H4"/>
    <mergeCell ref="I4:J4"/>
    <mergeCell ref="O4:R4"/>
    <mergeCell ref="A1:S1"/>
    <mergeCell ref="A4:F4"/>
    <mergeCell ref="K4:L4"/>
    <mergeCell ref="M4:N4"/>
    <mergeCell ref="A2:S2"/>
  </mergeCells>
  <conditionalFormatting sqref="O6:R53">
    <cfRule type="cellIs" priority="2" operator="equal" dxfId="1">
      <formula>1</formula>
    </cfRule>
    <cfRule type="cellIs" priority="3" operator="equal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2026-05-30T17:10:16Z</dcterms:created>
  <dcterms:modified xsi:type="dcterms:W3CDTF">2026-06-02T02:42:54Z</dcterms:modified>
  <cp:lastModifiedBy>Luis Quezada</cp:lastModifiedBy>
  <cp:revision>0</cp:revision>
</cp:coreProperties>
</file>