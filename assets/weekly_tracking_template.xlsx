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2aaf3924da35c5c/Desktop/"/>
    </mc:Choice>
  </mc:AlternateContent>
  <xr:revisionPtr revIDLastSave="13" documentId="11_31AEBC7FD7369DBAAD178A3C12D97497C715A032" xr6:coauthVersionLast="47" xr6:coauthVersionMax="47" xr10:uidLastSave="{E0EE0429-6455-4A2E-A040-57A58F07A493}"/>
  <bookViews>
    <workbookView xWindow="-120" yWindow="-120" windowWidth="29040" windowHeight="15720" tabRatio="500" xr2:uid="{00000000-000D-0000-FFFF-FFFF00000000}"/>
  </bookViews>
  <sheets>
    <sheet name="Scoreboard" sheetId="1" r:id="rId1"/>
    <sheet name="Weekly Model Rang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3" i="2" l="1"/>
  <c r="Q53" i="2"/>
  <c r="P53" i="2"/>
  <c r="O53" i="2"/>
  <c r="R52" i="2"/>
  <c r="Q52" i="2"/>
  <c r="P52" i="2"/>
  <c r="O52" i="2"/>
  <c r="R51" i="2"/>
  <c r="Q51" i="2"/>
  <c r="P51" i="2"/>
  <c r="O51" i="2"/>
  <c r="R50" i="2"/>
  <c r="Q50" i="2"/>
  <c r="P50" i="2"/>
  <c r="O50" i="2"/>
  <c r="R49" i="2"/>
  <c r="Q49" i="2"/>
  <c r="P49" i="2"/>
  <c r="O49" i="2"/>
  <c r="R48" i="2"/>
  <c r="Q48" i="2"/>
  <c r="P48" i="2"/>
  <c r="O48" i="2"/>
  <c r="R47" i="2"/>
  <c r="Q47" i="2"/>
  <c r="P47" i="2"/>
  <c r="O47" i="2"/>
  <c r="R46" i="2"/>
  <c r="Q46" i="2"/>
  <c r="P46" i="2"/>
  <c r="O46" i="2"/>
  <c r="R45" i="2"/>
  <c r="Q45" i="2"/>
  <c r="P45" i="2"/>
  <c r="O45" i="2"/>
  <c r="R44" i="2"/>
  <c r="Q44" i="2"/>
  <c r="P44" i="2"/>
  <c r="O44" i="2"/>
  <c r="R43" i="2"/>
  <c r="Q43" i="2"/>
  <c r="P43" i="2"/>
  <c r="O43" i="2"/>
  <c r="R42" i="2"/>
  <c r="Q42" i="2"/>
  <c r="P42" i="2"/>
  <c r="O42" i="2"/>
  <c r="R41" i="2"/>
  <c r="Q41" i="2"/>
  <c r="P41" i="2"/>
  <c r="O41" i="2"/>
  <c r="R40" i="2"/>
  <c r="Q40" i="2"/>
  <c r="P40" i="2"/>
  <c r="O40" i="2"/>
  <c r="R39" i="2"/>
  <c r="Q39" i="2"/>
  <c r="P39" i="2"/>
  <c r="O39" i="2"/>
  <c r="R38" i="2"/>
  <c r="Q38" i="2"/>
  <c r="P38" i="2"/>
  <c r="O38" i="2"/>
  <c r="R37" i="2"/>
  <c r="Q37" i="2"/>
  <c r="P37" i="2"/>
  <c r="O37" i="2"/>
  <c r="R36" i="2"/>
  <c r="Q36" i="2"/>
  <c r="P36" i="2"/>
  <c r="O36" i="2"/>
  <c r="R35" i="2"/>
  <c r="Q35" i="2"/>
  <c r="P35" i="2"/>
  <c r="O35" i="2"/>
  <c r="R34" i="2"/>
  <c r="Q34" i="2"/>
  <c r="P34" i="2"/>
  <c r="O34" i="2"/>
  <c r="R33" i="2"/>
  <c r="Q33" i="2"/>
  <c r="P33" i="2"/>
  <c r="O33" i="2"/>
  <c r="R32" i="2"/>
  <c r="Q32" i="2"/>
  <c r="P32" i="2"/>
  <c r="O32" i="2"/>
  <c r="R31" i="2"/>
  <c r="Q31" i="2"/>
  <c r="P31" i="2"/>
  <c r="O31" i="2"/>
  <c r="R30" i="2"/>
  <c r="Q30" i="2"/>
  <c r="P30" i="2"/>
  <c r="O30" i="2"/>
  <c r="R29" i="2"/>
  <c r="Q29" i="2"/>
  <c r="P29" i="2"/>
  <c r="O29" i="2"/>
  <c r="R28" i="2"/>
  <c r="Q28" i="2"/>
  <c r="P28" i="2"/>
  <c r="O28" i="2"/>
  <c r="R27" i="2"/>
  <c r="Q27" i="2"/>
  <c r="P27" i="2"/>
  <c r="O27" i="2"/>
  <c r="R26" i="2"/>
  <c r="Q26" i="2"/>
  <c r="P26" i="2"/>
  <c r="O26" i="2"/>
  <c r="R25" i="2"/>
  <c r="Q25" i="2"/>
  <c r="P25" i="2"/>
  <c r="O25" i="2"/>
  <c r="R24" i="2"/>
  <c r="Q24" i="2"/>
  <c r="P24" i="2"/>
  <c r="O24" i="2"/>
  <c r="R23" i="2"/>
  <c r="Q23" i="2"/>
  <c r="P23" i="2"/>
  <c r="O23" i="2"/>
  <c r="R22" i="2"/>
  <c r="Q22" i="2"/>
  <c r="P22" i="2"/>
  <c r="O22" i="2"/>
  <c r="R21" i="2"/>
  <c r="Q21" i="2"/>
  <c r="P21" i="2"/>
  <c r="O21" i="2"/>
  <c r="R20" i="2"/>
  <c r="Q20" i="2"/>
  <c r="P20" i="2"/>
  <c r="O20" i="2"/>
  <c r="R19" i="2"/>
  <c r="Q19" i="2"/>
  <c r="P19" i="2"/>
  <c r="O19" i="2"/>
  <c r="R18" i="2"/>
  <c r="Q18" i="2"/>
  <c r="P18" i="2"/>
  <c r="O18" i="2"/>
  <c r="R17" i="2"/>
  <c r="Q17" i="2"/>
  <c r="P17" i="2"/>
  <c r="O17" i="2"/>
  <c r="R16" i="2"/>
  <c r="Q16" i="2"/>
  <c r="P16" i="2"/>
  <c r="O16" i="2"/>
  <c r="R15" i="2"/>
  <c r="Q15" i="2"/>
  <c r="P15" i="2"/>
  <c r="O15" i="2"/>
  <c r="R14" i="2"/>
  <c r="Q14" i="2"/>
  <c r="P14" i="2"/>
  <c r="O14" i="2"/>
  <c r="R13" i="2"/>
  <c r="Q13" i="2"/>
  <c r="P13" i="2"/>
  <c r="O13" i="2"/>
  <c r="R12" i="2"/>
  <c r="Q12" i="2"/>
  <c r="P12" i="2"/>
  <c r="O12" i="2"/>
  <c r="R11" i="2"/>
  <c r="Q11" i="2"/>
  <c r="P11" i="2"/>
  <c r="O11" i="2"/>
  <c r="R10" i="2"/>
  <c r="Q10" i="2"/>
  <c r="P10" i="2"/>
  <c r="O10" i="2"/>
  <c r="R9" i="2"/>
  <c r="Q9" i="2"/>
  <c r="P9" i="2"/>
  <c r="O9" i="2"/>
  <c r="R8" i="2"/>
  <c r="Q8" i="2"/>
  <c r="P8" i="2"/>
  <c r="O8" i="2"/>
  <c r="R7" i="2"/>
  <c r="Q7" i="2"/>
  <c r="P7" i="2"/>
  <c r="O7" i="2"/>
  <c r="R6" i="2"/>
  <c r="Q6" i="2"/>
  <c r="P6" i="2"/>
  <c r="O6" i="2"/>
  <c r="B10" i="1"/>
  <c r="F9" i="1"/>
  <c r="E9" i="1"/>
  <c r="D9" i="1"/>
  <c r="C9" i="1"/>
  <c r="B9" i="1"/>
  <c r="F8" i="1"/>
  <c r="E8" i="1"/>
  <c r="D8" i="1"/>
  <c r="B8" i="1"/>
  <c r="F7" i="1"/>
  <c r="E7" i="1"/>
  <c r="D7" i="1"/>
  <c r="C7" i="1"/>
  <c r="B7" i="1"/>
  <c r="F6" i="1"/>
  <c r="E6" i="1"/>
  <c r="C6" i="1"/>
  <c r="B6" i="1"/>
  <c r="F10" i="1" l="1"/>
  <c r="D6" i="1"/>
  <c r="C10" i="1"/>
  <c r="D10" i="1"/>
  <c r="E10" i="1"/>
  <c r="C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6" authorId="0" shapeId="0" xr:uid="{00000000-0006-0000-0100-000001000000}">
      <text>
        <r>
          <rPr>
            <sz val="10"/>
            <rFont val="Arial"/>
            <family val="2"/>
          </rPr>
          <t>Point Low = Ref*(1 - point_pct/2). HAR point_pct from forecast.</t>
        </r>
      </text>
    </comment>
    <comment ref="I6" authorId="0" shapeId="0" xr:uid="{00000000-0006-0000-0100-000002000000}">
      <text>
        <r>
          <rPr>
            <sz val="10"/>
            <rFont val="Arial"/>
            <family val="2"/>
          </rPr>
          <t>PI Low = pi_lower_px (Ref*(1 - upper_pct/2)). 80% prediction interval.</t>
        </r>
      </text>
    </comment>
    <comment ref="K6" authorId="0" shapeId="0" xr:uid="{00000000-0006-0000-0100-000003000000}">
      <text>
        <r>
          <rPr>
            <sz val="10"/>
            <rFont val="Arial"/>
            <family val="2"/>
          </rPr>
          <t>Effective Low = plan.effective_lower_px (PI + event/GEX buffer). Your actual short-strike anchor.</t>
        </r>
      </text>
    </comment>
    <comment ref="M6" authorId="0" shapeId="0" xr:uid="{00000000-0006-0000-0100-000004000000}">
      <text>
        <r>
          <rPr>
            <sz val="10"/>
            <rFont val="Arial"/>
            <family val="2"/>
          </rPr>
          <t>VIX Low = Ref*(1 - vix_implied_pct/2). Options-implied reference range.</t>
        </r>
      </text>
    </comment>
  </commentList>
</comments>
</file>

<file path=xl/sharedStrings.xml><?xml version="1.0" encoding="utf-8"?>
<sst xmlns="http://schemas.openxmlformats.org/spreadsheetml/2006/main" count="142" uniqueCount="42">
  <si>
    <t>MODEL SCOREBOARD</t>
  </si>
  <si>
    <t>Close-in-range hit rate for each model variant, per instrument. The point of splitting by model: see which gives the best edge-vs-width tradeoff. Point is tightest (highest credit, lowest hit rate); Effective is widest (lowest credit, highest hit rate).</t>
  </si>
  <si>
    <t>WEEKLY HAR</t>
  </si>
  <si>
    <t>Instrument</t>
  </si>
  <si>
    <t>Weeks
Scored</t>
  </si>
  <si>
    <t>Point
Hit%</t>
  </si>
  <si>
    <t>PI
Hit%</t>
  </si>
  <si>
    <t>Eff
Hit%</t>
  </si>
  <si>
    <t>VIX
Hit%</t>
  </si>
  <si>
    <t>SPX</t>
  </si>
  <si>
    <t>QQQ</t>
  </si>
  <si>
    <t>AMZN</t>
  </si>
  <si>
    <t>AMD</t>
  </si>
  <si>
    <t>ALL</t>
  </si>
  <si>
    <t>HOW TO READ THIS</t>
  </si>
  <si>
    <t>Each model is a different width. Point = tightest band (richest credit, lowest hit rate). Effective =</t>
  </si>
  <si>
    <t>widest (your real condor placement, +buffer). The split tells you which width actually pays: a model</t>
  </si>
  <si>
    <t>only has edge if its hit rate clears the implied probability of the strikes you sell at that width.</t>
  </si>
  <si>
    <t>Log EVERY week the model fires — including weeks you'd skip. Cherry-picking inflates the rate and lies.</t>
  </si>
  <si>
    <t>~20+ scored rows before the number means anything. A green cell is +1 here. That is the reward. The $3k is gone.</t>
  </si>
  <si>
    <t>HAR MODELS — WEEKLY RANGE FORWARD TEST</t>
  </si>
  <si>
    <t>One row per instrument per week. Each model variant gives its own Low/High band. Win = weekly CLOSE inside that model's band (intraday wicks ignored — set-and-forget).</t>
  </si>
  <si>
    <t>POINT  (HAR base — tightest)</t>
  </si>
  <si>
    <t>PI BAND  (80% interval)</t>
  </si>
  <si>
    <t>EFFECTIVE  (PI + buffer — your condor)</t>
  </si>
  <si>
    <t>VIX-IMPLIED  (options ref)</t>
  </si>
  <si>
    <t>CLOSE INSIDE? (per model)</t>
  </si>
  <si>
    <t>Week
(Mon)</t>
  </si>
  <si>
    <t>Class</t>
  </si>
  <si>
    <t>Ref/Open
($)</t>
  </si>
  <si>
    <t>Weekly
Close ($)</t>
  </si>
  <si>
    <t>Prev
Close ($)</t>
  </si>
  <si>
    <t>Low</t>
  </si>
  <si>
    <t>High</t>
  </si>
  <si>
    <t>Point</t>
  </si>
  <si>
    <t>PI</t>
  </si>
  <si>
    <t>Eff</t>
  </si>
  <si>
    <t>VIX</t>
  </si>
  <si>
    <t>Notes</t>
  </si>
  <si>
    <t>Index</t>
  </si>
  <si>
    <t>ETF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</si>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</sst>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1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9C0006"/>
      <name val="Arial"/>
      <family val="2"/>
    </font>
    <font>
      <sz val="9"/>
      <color rgb="FF595959"/>
      <name val="Arial"/>
      <family val="2"/>
    </font>
    <font>
      <b/>
      <sz val="13"/>
      <color rgb="FF1F3864"/>
      <name val="Arial"/>
      <family val="2"/>
    </font>
    <font>
      <b/>
      <sz val="9"/>
      <color rgb="FF333333"/>
      <name val="Arial"/>
      <family val="2"/>
    </font>
    <font>
      <sz val="10"/>
      <color rgb="FF59595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8EAADB"/>
        <bgColor rgb="FF969696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1" fillId="2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1" fontId="6" fillId="4" borderId="1" xfId="0" applyNumberFormat="1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7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4" fontId="7" fillId="9" borderId="1" xfId="0" applyNumberFormat="1" applyFont="1" applyFill="1" applyBorder="1" applyAlignment="1">
      <alignment horizontal="center" vertical="center" wrapText="1"/>
    </xf>
    <xf numFmtId="4" fontId="7" fillId="4" borderId="1" xfId="0" applyNumberFormat="1" applyFont="1" applyFill="1" applyBorder="1" applyAlignment="1">
      <alignment horizontal="center" vertical="center" wrapText="1"/>
    </xf>
    <xf numFmtId="4" fontId="7" fillId="5" borderId="1" xfId="0" applyNumberFormat="1" applyFont="1" applyFill="1" applyBorder="1" applyAlignment="1">
      <alignment horizontal="center" vertical="center" wrapText="1"/>
    </xf>
    <xf numFmtId="4" fontId="7" fillId="6" borderId="1" xfId="0" applyNumberFormat="1" applyFont="1" applyFill="1" applyBorder="1" applyAlignment="1">
      <alignment horizontal="center" vertical="center" wrapText="1"/>
    </xf>
    <xf numFmtId="4" fontId="7" fillId="7" borderId="1" xfId="0" applyNumberFormat="1" applyFont="1" applyFill="1" applyBorder="1" applyAlignment="1">
      <alignment horizontal="center" vertical="center" wrapText="1"/>
    </xf>
    <xf numFmtId="4" fontId="7" fillId="8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165" fontId="7" fillId="0" borderId="1" xfId="0" applyNumberFormat="1" applyFont="1" applyBorder="1" applyAlignment="1">
      <alignment horizontal="center" vertical="center" wrapText="1"/>
    </xf>
    <xf numFmtId="4" fontId="7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F2F2F2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showGridLines="0" tabSelected="1" zoomScaleNormal="100" workbookViewId="0">
      <selection activeCell="B21" sqref="B21"/>
    </sheetView>
  </sheetViews>
  <sheetFormatPr defaultColWidth="8.7109375" defaultRowHeight="15" x14ac:dyDescent="0.25"/>
  <cols>
    <col min="1" max="1" width="13" customWidth="1"/>
    <col min="2" max="2" width="10" customWidth="1"/>
    <col min="3" max="9" width="9" customWidth="1"/>
  </cols>
  <sheetData>
    <row r="1" spans="1:9" ht="17.45" customHeight="1" x14ac:dyDescent="0.25">
      <c r="A1" s="12" t="s">
        <v>0</v>
      </c>
      <c r="B1" s="12"/>
      <c r="C1" s="12"/>
      <c r="D1" s="12"/>
      <c r="E1" s="12"/>
      <c r="F1" s="12"/>
      <c r="G1" s="12"/>
      <c r="H1" s="12"/>
      <c r="I1" s="12"/>
    </row>
    <row r="2" spans="1:9" ht="32.85" customHeight="1" x14ac:dyDescent="0.25">
      <c r="A2" s="11" t="s">
        <v>1</v>
      </c>
      <c r="B2" s="11"/>
      <c r="C2" s="11"/>
      <c r="D2" s="11"/>
      <c r="E2" s="11"/>
      <c r="F2" s="11"/>
      <c r="G2" s="11"/>
      <c r="H2" s="11"/>
      <c r="I2" s="11"/>
    </row>
    <row r="4" spans="1:9" ht="15" customHeight="1" x14ac:dyDescent="0.25">
      <c r="A4" s="10" t="s">
        <v>2</v>
      </c>
      <c r="B4" s="10"/>
      <c r="C4" s="10"/>
      <c r="D4" s="10"/>
      <c r="E4" s="10"/>
      <c r="F4" s="10"/>
      <c r="G4" s="10"/>
      <c r="H4" s="10"/>
      <c r="I4" s="10"/>
    </row>
    <row r="5" spans="1:9" ht="27.75" customHeight="1" x14ac:dyDescent="0.25">
      <c r="A5" s="13" t="s">
        <v>3</v>
      </c>
      <c r="B5" s="13" t="s">
        <v>4</v>
      </c>
      <c r="C5" s="13" t="s">
        <v>5</v>
      </c>
      <c r="D5" s="13" t="s">
        <v>6</v>
      </c>
      <c r="E5" s="13" t="s">
        <v>7</v>
      </c>
      <c r="F5" s="13" t="s">
        <v>8</v>
      </c>
    </row>
    <row r="6" spans="1:9" x14ac:dyDescent="0.25">
      <c r="A6" s="14" t="s">
        <v>9</v>
      </c>
      <c r="B6" s="15">
        <f>COUNTIFS('Weekly Model Ranges'!$B$6:$B$53,A6,'Weekly Model Ranges'!$Q$6:$Q$53,TRUE())+COUNTIFS('Weekly Model Ranges'!$B$6:$B$53,A6,'Weekly Model Ranges'!$Q$6:$Q$53,FALSE())</f>
        <v>0</v>
      </c>
      <c r="C6" s="16" t="str">
        <f>IF((COUNTIFS('Weekly Model Ranges'!$B$6:$B$53,A6,'Weekly Model Ranges'!$O$6:$O$53,TRUE())+COUNTIFS('Weekly Model Ranges'!$B$6:$B$53,A6,'Weekly Model Ranges'!$O$6:$O$53,FALSE()))=0,"",COUNTIFS('Weekly Model Ranges'!$B$6:$B$53,A6,'Weekly Model Ranges'!$O$6:$O$53,TRUE())/(COUNTIFS('Weekly Model Ranges'!$B$6:$B$53,A6,'Weekly Model Ranges'!$O$6:$O$53,TRUE())+COUNTIFS('Weekly Model Ranges'!$B$6:$B$53,A6,'Weekly Model Ranges'!$O$6:$O$53,FALSE())))</f>
        <v/>
      </c>
      <c r="D6" s="16" t="str">
        <f>IF((COUNTIFS('Weekly Model Ranges'!$B$6:$B$53,A6,'Weekly Model Ranges'!$P$6:$P$53,TRUE())+COUNTIFS('Weekly Model Ranges'!$B$6:$B$53,A6,'Weekly Model Ranges'!$P$6:$P$53,FALSE()))=0,"",COUNTIFS('Weekly Model Ranges'!$B$6:$B$53,A6,'Weekly Model Ranges'!$P$6:$P$53,TRUE())/(COUNTIFS('Weekly Model Ranges'!$B$6:$B$53,A6,'Weekly Model Ranges'!$P$6:$P$53,TRUE())+COUNTIFS('Weekly Model Ranges'!$B$6:$B$53,A6,'Weekly Model Ranges'!$P$6:$P$53,FALSE())))</f>
        <v/>
      </c>
      <c r="E6" s="17" t="str">
        <f>IF((COUNTIFS('Weekly Model Ranges'!$B$6:$B$53,A6,'Weekly Model Ranges'!$Q$6:$Q$53,TRUE())+COUNTIFS('Weekly Model Ranges'!$B$6:$B$53,A6,'Weekly Model Ranges'!$Q$6:$Q$53,FALSE()))=0,"",COUNTIFS('Weekly Model Ranges'!$B$6:$B$53,A6,'Weekly Model Ranges'!$Q$6:$Q$53,TRUE())/(COUNTIFS('Weekly Model Ranges'!$B$6:$B$53,A6,'Weekly Model Ranges'!$Q$6:$Q$53,TRUE())+COUNTIFS('Weekly Model Ranges'!$B$6:$B$53,A6,'Weekly Model Ranges'!$Q$6:$Q$53,FALSE())))</f>
        <v/>
      </c>
      <c r="F6" s="16" t="str">
        <f>IF((COUNTIFS('Weekly Model Ranges'!$B$6:$B$53,A6,'Weekly Model Ranges'!$R$6:$R$53,TRUE())+COUNTIFS('Weekly Model Ranges'!$B$6:$B$53,A6,'Weekly Model Ranges'!$R$6:$R$53,FALSE()))=0,"",COUNTIFS('Weekly Model Ranges'!$B$6:$B$53,A6,'Weekly Model Ranges'!$R$6:$R$53,TRUE())/(COUNTIFS('Weekly Model Ranges'!$B$6:$B$53,A6,'Weekly Model Ranges'!$R$6:$R$53,TRUE())+COUNTIFS('Weekly Model Ranges'!$B$6:$B$53,A6,'Weekly Model Ranges'!$R$6:$R$53,FALSE())))</f>
        <v/>
      </c>
    </row>
    <row r="7" spans="1:9" x14ac:dyDescent="0.25">
      <c r="A7" s="14" t="s">
        <v>10</v>
      </c>
      <c r="B7" s="15">
        <f>COUNTIFS('Weekly Model Ranges'!$B$6:$B$53,A7,'Weekly Model Ranges'!$Q$6:$Q$53,TRUE())+COUNTIFS('Weekly Model Ranges'!$B$6:$B$53,A7,'Weekly Model Ranges'!$Q$6:$Q$53,FALSE())</f>
        <v>0</v>
      </c>
      <c r="C7" s="16" t="str">
        <f>IF((COUNTIFS('Weekly Model Ranges'!$B$6:$B$53,A7,'Weekly Model Ranges'!$O$6:$O$53,TRUE())+COUNTIFS('Weekly Model Ranges'!$B$6:$B$53,A7,'Weekly Model Ranges'!$O$6:$O$53,FALSE()))=0,"",COUNTIFS('Weekly Model Ranges'!$B$6:$B$53,A7,'Weekly Model Ranges'!$O$6:$O$53,TRUE())/(COUNTIFS('Weekly Model Ranges'!$B$6:$B$53,A7,'Weekly Model Ranges'!$O$6:$O$53,TRUE())+COUNTIFS('Weekly Model Ranges'!$B$6:$B$53,A7,'Weekly Model Ranges'!$O$6:$O$53,FALSE())))</f>
        <v/>
      </c>
      <c r="D7" s="16" t="str">
        <f>IF((COUNTIFS('Weekly Model Ranges'!$B$6:$B$53,A7,'Weekly Model Ranges'!$P$6:$P$53,TRUE())+COUNTIFS('Weekly Model Ranges'!$B$6:$B$53,A7,'Weekly Model Ranges'!$P$6:$P$53,FALSE()))=0,"",COUNTIFS('Weekly Model Ranges'!$B$6:$B$53,A7,'Weekly Model Ranges'!$P$6:$P$53,TRUE())/(COUNTIFS('Weekly Model Ranges'!$B$6:$B$53,A7,'Weekly Model Ranges'!$P$6:$P$53,TRUE())+COUNTIFS('Weekly Model Ranges'!$B$6:$B$53,A7,'Weekly Model Ranges'!$P$6:$P$53,FALSE())))</f>
        <v/>
      </c>
      <c r="E7" s="17" t="str">
        <f>IF((COUNTIFS('Weekly Model Ranges'!$B$6:$B$53,A7,'Weekly Model Ranges'!$Q$6:$Q$53,TRUE())+COUNTIFS('Weekly Model Ranges'!$B$6:$B$53,A7,'Weekly Model Ranges'!$Q$6:$Q$53,FALSE()))=0,"",COUNTIFS('Weekly Model Ranges'!$B$6:$B$53,A7,'Weekly Model Ranges'!$Q$6:$Q$53,TRUE())/(COUNTIFS('Weekly Model Ranges'!$B$6:$B$53,A7,'Weekly Model Ranges'!$Q$6:$Q$53,TRUE())+COUNTIFS('Weekly Model Ranges'!$B$6:$B$53,A7,'Weekly Model Ranges'!$Q$6:$Q$53,FALSE())))</f>
        <v/>
      </c>
      <c r="F7" s="16" t="str">
        <f>IF((COUNTIFS('Weekly Model Ranges'!$B$6:$B$53,A7,'Weekly Model Ranges'!$R$6:$R$53,TRUE())+COUNTIFS('Weekly Model Ranges'!$B$6:$B$53,A7,'Weekly Model Ranges'!$R$6:$R$53,FALSE()))=0,"",COUNTIFS('Weekly Model Ranges'!$B$6:$B$53,A7,'Weekly Model Ranges'!$R$6:$R$53,TRUE())/(COUNTIFS('Weekly Model Ranges'!$B$6:$B$53,A7,'Weekly Model Ranges'!$R$6:$R$53,TRUE())+COUNTIFS('Weekly Model Ranges'!$B$6:$B$53,A7,'Weekly Model Ranges'!$R$6:$R$53,FALSE())))</f>
        <v/>
      </c>
    </row>
    <row r="8" spans="1:9" x14ac:dyDescent="0.25">
      <c r="A8" s="14" t="s">
        <v>11</v>
      </c>
      <c r="B8" s="15">
        <f>COUNTIFS('Weekly Model Ranges'!$B$6:$B$53,A8,'Weekly Model Ranges'!$Q$6:$Q$53,TRUE())+COUNTIFS('Weekly Model Ranges'!$B$6:$B$53,A8,'Weekly Model Ranges'!$Q$6:$Q$53,FALSE())</f>
        <v>0</v>
      </c>
      <c r="C8" s="16" t="str">
        <f>IF((COUNTIFS('Weekly Model Ranges'!$B$6:$B$53,A8,'Weekly Model Ranges'!$O$6:$O$53,TRUE())+COUNTIFS('Weekly Model Ranges'!$B$6:$B$53,A8,'Weekly Model Ranges'!$O$6:$O$53,FALSE()))=0,"",COUNTIFS('Weekly Model Ranges'!$B$6:$B$53,A8,'Weekly Model Ranges'!$O$6:$O$53,TRUE())/(COUNTIFS('Weekly Model Ranges'!$B$6:$B$53,A8,'Weekly Model Ranges'!$O$6:$O$53,TRUE())+COUNTIFS('Weekly Model Ranges'!$B$6:$B$53,A8,'Weekly Model Ranges'!$O$6:$O$53,FALSE())))</f>
        <v/>
      </c>
      <c r="D8" s="16" t="str">
        <f>IF((COUNTIFS('Weekly Model Ranges'!$B$6:$B$53,A8,'Weekly Model Ranges'!$P$6:$P$53,TRUE())+COUNTIFS('Weekly Model Ranges'!$B$6:$B$53,A8,'Weekly Model Ranges'!$P$6:$P$53,FALSE()))=0,"",COUNTIFS('Weekly Model Ranges'!$B$6:$B$53,A8,'Weekly Model Ranges'!$P$6:$P$53,TRUE())/(COUNTIFS('Weekly Model Ranges'!$B$6:$B$53,A8,'Weekly Model Ranges'!$P$6:$P$53,TRUE())+COUNTIFS('Weekly Model Ranges'!$B$6:$B$53,A8,'Weekly Model Ranges'!$P$6:$P$53,FALSE())))</f>
        <v/>
      </c>
      <c r="E8" s="17" t="str">
        <f>IF((COUNTIFS('Weekly Model Ranges'!$B$6:$B$53,A8,'Weekly Model Ranges'!$Q$6:$Q$53,TRUE())+COUNTIFS('Weekly Model Ranges'!$B$6:$B$53,A8,'Weekly Model Ranges'!$Q$6:$Q$53,FALSE()))=0,"",COUNTIFS('Weekly Model Ranges'!$B$6:$B$53,A8,'Weekly Model Ranges'!$Q$6:$Q$53,TRUE())/(COUNTIFS('Weekly Model Ranges'!$B$6:$B$53,A8,'Weekly Model Ranges'!$Q$6:$Q$53,TRUE())+COUNTIFS('Weekly Model Ranges'!$B$6:$B$53,A8,'Weekly Model Ranges'!$Q$6:$Q$53,FALSE())))</f>
        <v/>
      </c>
      <c r="F8" s="16" t="str">
        <f>IF((COUNTIFS('Weekly Model Ranges'!$B$6:$B$53,A8,'Weekly Model Ranges'!$R$6:$R$53,TRUE())+COUNTIFS('Weekly Model Ranges'!$B$6:$B$53,A8,'Weekly Model Ranges'!$R$6:$R$53,FALSE()))=0,"",COUNTIFS('Weekly Model Ranges'!$B$6:$B$53,A8,'Weekly Model Ranges'!$R$6:$R$53,TRUE())/(COUNTIFS('Weekly Model Ranges'!$B$6:$B$53,A8,'Weekly Model Ranges'!$R$6:$R$53,TRUE())+COUNTIFS('Weekly Model Ranges'!$B$6:$B$53,A8,'Weekly Model Ranges'!$R$6:$R$53,FALSE())))</f>
        <v/>
      </c>
    </row>
    <row r="9" spans="1:9" x14ac:dyDescent="0.25">
      <c r="A9" s="14" t="s">
        <v>12</v>
      </c>
      <c r="B9" s="15">
        <f>COUNTIFS('Weekly Model Ranges'!$B$6:$B$53,A9,'Weekly Model Ranges'!$Q$6:$Q$53,TRUE())+COUNTIFS('Weekly Model Ranges'!$B$6:$B$53,A9,'Weekly Model Ranges'!$Q$6:$Q$53,FALSE())</f>
        <v>0</v>
      </c>
      <c r="C9" s="16" t="str">
        <f>IF((COUNTIFS('Weekly Model Ranges'!$B$6:$B$53,A9,'Weekly Model Ranges'!$O$6:$O$53,TRUE())+COUNTIFS('Weekly Model Ranges'!$B$6:$B$53,A9,'Weekly Model Ranges'!$O$6:$O$53,FALSE()))=0,"",COUNTIFS('Weekly Model Ranges'!$B$6:$B$53,A9,'Weekly Model Ranges'!$O$6:$O$53,TRUE())/(COUNTIFS('Weekly Model Ranges'!$B$6:$B$53,A9,'Weekly Model Ranges'!$O$6:$O$53,TRUE())+COUNTIFS('Weekly Model Ranges'!$B$6:$B$53,A9,'Weekly Model Ranges'!$O$6:$O$53,FALSE())))</f>
        <v/>
      </c>
      <c r="D9" s="16" t="str">
        <f>IF((COUNTIFS('Weekly Model Ranges'!$B$6:$B$53,A9,'Weekly Model Ranges'!$P$6:$P$53,TRUE())+COUNTIFS('Weekly Model Ranges'!$B$6:$B$53,A9,'Weekly Model Ranges'!$P$6:$P$53,FALSE()))=0,"",COUNTIFS('Weekly Model Ranges'!$B$6:$B$53,A9,'Weekly Model Ranges'!$P$6:$P$53,TRUE())/(COUNTIFS('Weekly Model Ranges'!$B$6:$B$53,A9,'Weekly Model Ranges'!$P$6:$P$53,TRUE())+COUNTIFS('Weekly Model Ranges'!$B$6:$B$53,A9,'Weekly Model Ranges'!$P$6:$P$53,FALSE())))</f>
        <v/>
      </c>
      <c r="E9" s="17" t="str">
        <f>IF((COUNTIFS('Weekly Model Ranges'!$B$6:$B$53,A9,'Weekly Model Ranges'!$Q$6:$Q$53,TRUE())+COUNTIFS('Weekly Model Ranges'!$B$6:$B$53,A9,'Weekly Model Ranges'!$Q$6:$Q$53,FALSE()))=0,"",COUNTIFS('Weekly Model Ranges'!$B$6:$B$53,A9,'Weekly Model Ranges'!$Q$6:$Q$53,TRUE())/(COUNTIFS('Weekly Model Ranges'!$B$6:$B$53,A9,'Weekly Model Ranges'!$Q$6:$Q$53,TRUE())+COUNTIFS('Weekly Model Ranges'!$B$6:$B$53,A9,'Weekly Model Ranges'!$Q$6:$Q$53,FALSE())))</f>
        <v/>
      </c>
      <c r="F9" s="16" t="str">
        <f>IF((COUNTIFS('Weekly Model Ranges'!$B$6:$B$53,A9,'Weekly Model Ranges'!$R$6:$R$53,TRUE())+COUNTIFS('Weekly Model Ranges'!$B$6:$B$53,A9,'Weekly Model Ranges'!$R$6:$R$53,FALSE()))=0,"",COUNTIFS('Weekly Model Ranges'!$B$6:$B$53,A9,'Weekly Model Ranges'!$R$6:$R$53,TRUE())/(COUNTIFS('Weekly Model Ranges'!$B$6:$B$53,A9,'Weekly Model Ranges'!$R$6:$R$53,TRUE())+COUNTIFS('Weekly Model Ranges'!$B$6:$B$53,A9,'Weekly Model Ranges'!$R$6:$R$53,FALSE())))</f>
        <v/>
      </c>
    </row>
    <row r="10" spans="1:9" x14ac:dyDescent="0.25">
      <c r="A10" s="18" t="s">
        <v>13</v>
      </c>
      <c r="B10" s="19">
        <f>SUM(B6:B9)</f>
        <v>0</v>
      </c>
      <c r="C10" s="20" t="str">
        <f>IF((COUNTIFS('Weekly Model Ranges'!$B$6:$B$53,"&lt;&gt;",'Weekly Model Ranges'!$O$6:$O$53,TRUE())+COUNTIFS('Weekly Model Ranges'!$B$6:$B$53,"&lt;&gt;",'Weekly Model Ranges'!$O$6:$O$53,FALSE()))=0,"",COUNTIF('Weekly Model Ranges'!$O$6:$O$53,TRUE())/(COUNTIFS('Weekly Model Ranges'!$B$6:$B$53,"&lt;&gt;",'Weekly Model Ranges'!$O$6:$O$53,TRUE())+COUNTIFS('Weekly Model Ranges'!$B$6:$B$53,"&lt;&gt;",'Weekly Model Ranges'!$O$6:$O$53,FALSE())))</f>
        <v/>
      </c>
      <c r="D10" s="20" t="str">
        <f>IF((COUNTIFS('Weekly Model Ranges'!$B$6:$B$53,"&lt;&gt;",'Weekly Model Ranges'!$P$6:$P$53,TRUE())+COUNTIFS('Weekly Model Ranges'!$B$6:$B$53,"&lt;&gt;",'Weekly Model Ranges'!$P$6:$P$53,FALSE()))=0,"",COUNTIF('Weekly Model Ranges'!$P$6:$P$53,TRUE())/(COUNTIFS('Weekly Model Ranges'!$B$6:$B$53,"&lt;&gt;",'Weekly Model Ranges'!$P$6:$P$53,TRUE())+COUNTIFS('Weekly Model Ranges'!$B$6:$B$53,"&lt;&gt;",'Weekly Model Ranges'!$P$6:$P$53,FALSE())))</f>
        <v/>
      </c>
      <c r="E10" s="20" t="str">
        <f>IF((COUNTIFS('Weekly Model Ranges'!$B$6:$B$53,"&lt;&gt;",'Weekly Model Ranges'!$Q$6:$Q$53,TRUE())+COUNTIFS('Weekly Model Ranges'!$B$6:$B$53,"&lt;&gt;",'Weekly Model Ranges'!$Q$6:$Q$53,FALSE()))=0,"",COUNTIF('Weekly Model Ranges'!$Q$6:$Q$53,TRUE())/(COUNTIFS('Weekly Model Ranges'!$B$6:$B$53,"&lt;&gt;",'Weekly Model Ranges'!$Q$6:$Q$53,TRUE())+COUNTIFS('Weekly Model Ranges'!$B$6:$B$53,"&lt;&gt;",'Weekly Model Ranges'!$Q$6:$Q$53,FALSE())))</f>
        <v/>
      </c>
      <c r="F10" s="20" t="str">
        <f>IF((COUNTIFS('Weekly Model Ranges'!$B$6:$B$53,"&lt;&gt;",'Weekly Model Ranges'!$R$6:$R$53,TRUE())+COUNTIFS('Weekly Model Ranges'!$B$6:$B$53,"&lt;&gt;",'Weekly Model Ranges'!$R$6:$R$53,FALSE()))=0,"",COUNTIF('Weekly Model Ranges'!$R$6:$R$53,TRUE())/(COUNTIFS('Weekly Model Ranges'!$B$6:$B$53,"&lt;&gt;",'Weekly Model Ranges'!$R$6:$R$53,TRUE())+COUNTIFS('Weekly Model Ranges'!$B$6:$B$53,"&lt;&gt;",'Weekly Model Ranges'!$R$6:$R$53,FALSE())))</f>
        <v/>
      </c>
    </row>
    <row r="12" spans="1:9" ht="15" customHeight="1" x14ac:dyDescent="0.25">
      <c r="A12" s="9" t="s">
        <v>14</v>
      </c>
      <c r="B12" s="9"/>
      <c r="C12" s="9"/>
      <c r="D12" s="9"/>
      <c r="E12" s="9"/>
      <c r="F12" s="9"/>
      <c r="G12" s="9"/>
      <c r="H12" s="9"/>
      <c r="I12" s="9"/>
    </row>
    <row r="13" spans="1:9" ht="15" customHeight="1" x14ac:dyDescent="0.25">
      <c r="A13" s="8" t="s">
        <v>15</v>
      </c>
      <c r="B13" s="8"/>
      <c r="C13" s="8"/>
      <c r="D13" s="8"/>
      <c r="E13" s="8"/>
      <c r="F13" s="8"/>
      <c r="G13" s="8"/>
      <c r="H13" s="8"/>
      <c r="I13" s="8"/>
    </row>
    <row r="14" spans="1:9" ht="15" customHeight="1" x14ac:dyDescent="0.25">
      <c r="A14" s="8" t="s">
        <v>16</v>
      </c>
      <c r="B14" s="8"/>
      <c r="C14" s="8"/>
      <c r="D14" s="8"/>
      <c r="E14" s="8"/>
      <c r="F14" s="8"/>
      <c r="G14" s="8"/>
      <c r="H14" s="8"/>
      <c r="I14" s="8"/>
    </row>
    <row r="15" spans="1:9" ht="15" customHeight="1" x14ac:dyDescent="0.25">
      <c r="A15" s="8" t="s">
        <v>17</v>
      </c>
      <c r="B15" s="8"/>
      <c r="C15" s="8"/>
      <c r="D15" s="8"/>
      <c r="E15" s="8"/>
      <c r="F15" s="8"/>
      <c r="G15" s="8"/>
      <c r="H15" s="8"/>
      <c r="I15" s="8"/>
    </row>
    <row r="16" spans="1:9" ht="15" customHeight="1" x14ac:dyDescent="0.25">
      <c r="A16" s="8" t="s">
        <v>18</v>
      </c>
      <c r="B16" s="8"/>
      <c r="C16" s="8"/>
      <c r="D16" s="8"/>
      <c r="E16" s="8"/>
      <c r="F16" s="8"/>
      <c r="G16" s="8"/>
      <c r="H16" s="8"/>
      <c r="I16" s="8"/>
    </row>
    <row r="17" spans="1:9" ht="22.35" customHeight="1" x14ac:dyDescent="0.25">
      <c r="A17" s="8" t="s">
        <v>19</v>
      </c>
      <c r="B17" s="8"/>
      <c r="C17" s="8"/>
      <c r="D17" s="8"/>
      <c r="E17" s="8"/>
      <c r="F17" s="8"/>
      <c r="G17" s="8"/>
      <c r="H17" s="8"/>
      <c r="I17" s="8"/>
    </row>
  </sheetData>
  <mergeCells count="9">
    <mergeCell ref="A14:I14"/>
    <mergeCell ref="A15:I15"/>
    <mergeCell ref="A16:I16"/>
    <mergeCell ref="A17:I17"/>
    <mergeCell ref="A1:I1"/>
    <mergeCell ref="A2:I2"/>
    <mergeCell ref="A4:I4"/>
    <mergeCell ref="A12:I12"/>
    <mergeCell ref="A13:I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3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defaultColWidth="8.7109375" defaultRowHeight="15" x14ac:dyDescent="0.25"/>
  <cols>
    <col min="1" max="1" width="12" customWidth="1"/>
    <col min="2" max="2" width="11" customWidth="1"/>
    <col min="3" max="3" width="8" customWidth="1"/>
    <col min="4" max="4" width="10" customWidth="1"/>
    <col min="5" max="5" width="11" customWidth="1"/>
    <col min="6" max="6" width="10" customWidth="1"/>
    <col min="7" max="14" width="9" customWidth="1"/>
    <col min="15" max="15" width="7" customWidth="1"/>
    <col min="16" max="18" width="6" customWidth="1"/>
    <col min="19" max="19" width="22" customWidth="1"/>
  </cols>
  <sheetData>
    <row r="1" spans="1:19" ht="16.149999999999999" customHeight="1" x14ac:dyDescent="0.25">
      <c r="A1" s="7" t="s">
        <v>20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" customHeight="1" x14ac:dyDescent="0.25">
      <c r="A2" s="11" t="s">
        <v>21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</row>
    <row r="4" spans="1:19" ht="32.85" customHeight="1" x14ac:dyDescent="0.25">
      <c r="A4" s="6"/>
      <c r="B4" s="6"/>
      <c r="C4" s="6"/>
      <c r="D4" s="6"/>
      <c r="E4" s="6"/>
      <c r="F4" s="6"/>
      <c r="G4" s="5" t="s">
        <v>22</v>
      </c>
      <c r="H4" s="5"/>
      <c r="I4" s="4" t="s">
        <v>23</v>
      </c>
      <c r="J4" s="4"/>
      <c r="K4" s="3" t="s">
        <v>24</v>
      </c>
      <c r="L4" s="3"/>
      <c r="M4" s="2" t="s">
        <v>25</v>
      </c>
      <c r="N4" s="2"/>
      <c r="O4" s="1" t="s">
        <v>26</v>
      </c>
      <c r="P4" s="1"/>
      <c r="Q4" s="1"/>
      <c r="R4" s="1"/>
      <c r="S4" s="21"/>
    </row>
    <row r="5" spans="1:19" ht="27.75" customHeight="1" x14ac:dyDescent="0.25">
      <c r="A5" s="13" t="s">
        <v>27</v>
      </c>
      <c r="B5" s="13" t="s">
        <v>3</v>
      </c>
      <c r="C5" s="13" t="s">
        <v>28</v>
      </c>
      <c r="D5" s="13" t="s">
        <v>29</v>
      </c>
      <c r="E5" s="13" t="s">
        <v>30</v>
      </c>
      <c r="F5" s="13" t="s">
        <v>31</v>
      </c>
      <c r="G5" s="13" t="s">
        <v>32</v>
      </c>
      <c r="H5" s="13" t="s">
        <v>33</v>
      </c>
      <c r="I5" s="13" t="s">
        <v>32</v>
      </c>
      <c r="J5" s="13" t="s">
        <v>33</v>
      </c>
      <c r="K5" s="13" t="s">
        <v>32</v>
      </c>
      <c r="L5" s="13" t="s">
        <v>33</v>
      </c>
      <c r="M5" s="13" t="s">
        <v>32</v>
      </c>
      <c r="N5" s="13" t="s">
        <v>33</v>
      </c>
      <c r="O5" s="13" t="s">
        <v>34</v>
      </c>
      <c r="P5" s="13" t="s">
        <v>35</v>
      </c>
      <c r="Q5" s="13" t="s">
        <v>36</v>
      </c>
      <c r="R5" s="13" t="s">
        <v>37</v>
      </c>
      <c r="S5" s="13" t="s">
        <v>38</v>
      </c>
    </row>
    <row r="6" spans="1:19" x14ac:dyDescent="0.25">
      <c r="A6" s="22"/>
      <c r="B6" s="23" t="s">
        <v>9</v>
      </c>
      <c r="C6" s="24" t="s">
        <v>39</v>
      </c>
      <c r="D6" s="25"/>
      <c r="E6" s="26"/>
      <c r="F6" s="25"/>
      <c r="G6" s="27"/>
      <c r="H6" s="27"/>
      <c r="I6" s="28"/>
      <c r="J6" s="28"/>
      <c r="K6" s="29"/>
      <c r="L6" s="29"/>
      <c r="M6" s="30"/>
      <c r="N6" s="30"/>
      <c r="O6" s="21" t="str">
        <f t="shared" ref="O6:O53" si="0">IF(OR(G6="",H6="",E6=""),"",IF(AND(E6&gt;=G6,E6&lt;=H6),TRUE(),FALSE()))</f>
        <v/>
      </c>
      <c r="P6" s="21" t="str">
        <f t="shared" ref="P6:P53" si="1">IF(OR(I6="",J6="",E6=""),"",IF(AND(E6&gt;=I6,E6&lt;=J6),TRUE(),FALSE()))</f>
        <v/>
      </c>
      <c r="Q6" s="21" t="str">
        <f t="shared" ref="Q6:Q53" si="2">IF(OR(K6="",L6="",E6=""),"",IF(AND(E6&gt;=K6,E6&lt;=L6),TRUE(),FALSE()))</f>
        <v/>
      </c>
      <c r="R6" s="21" t="str">
        <f t="shared" ref="R6:R53" si="3">IF(OR(M6="",N6="",E6=""),"",IF(AND(E6&gt;=M6,E6&lt;=N6),TRUE(),FALSE()))</f>
        <v/>
      </c>
      <c r="S6" s="31"/>
    </row>
    <row r="7" spans="1:19" x14ac:dyDescent="0.25">
      <c r="A7" s="22"/>
      <c r="B7" s="23" t="s">
        <v>10</v>
      </c>
      <c r="C7" s="24" t="s">
        <v>40</v>
      </c>
      <c r="D7" s="25"/>
      <c r="E7" s="26"/>
      <c r="F7" s="25"/>
      <c r="G7" s="27"/>
      <c r="H7" s="27"/>
      <c r="I7" s="28"/>
      <c r="J7" s="28"/>
      <c r="K7" s="29"/>
      <c r="L7" s="29"/>
      <c r="M7" s="30"/>
      <c r="N7" s="30"/>
      <c r="O7" s="21" t="str">
        <f t="shared" si="0"/>
        <v/>
      </c>
      <c r="P7" s="21" t="str">
        <f t="shared" si="1"/>
        <v/>
      </c>
      <c r="Q7" s="21" t="str">
        <f t="shared" si="2"/>
        <v/>
      </c>
      <c r="R7" s="21" t="str">
        <f t="shared" si="3"/>
        <v/>
      </c>
      <c r="S7" s="31"/>
    </row>
    <row r="8" spans="1:19" x14ac:dyDescent="0.25">
      <c r="A8" s="22"/>
      <c r="B8" s="23" t="s">
        <v>11</v>
      </c>
      <c r="C8" s="24" t="s">
        <v>41</v>
      </c>
      <c r="D8" s="25"/>
      <c r="E8" s="26"/>
      <c r="F8" s="25"/>
      <c r="G8" s="27"/>
      <c r="H8" s="27"/>
      <c r="I8" s="28"/>
      <c r="J8" s="28"/>
      <c r="K8" s="29"/>
      <c r="L8" s="29"/>
      <c r="M8" s="30"/>
      <c r="N8" s="30"/>
      <c r="O8" s="21" t="str">
        <f t="shared" si="0"/>
        <v/>
      </c>
      <c r="P8" s="21" t="str">
        <f t="shared" si="1"/>
        <v/>
      </c>
      <c r="Q8" s="21" t="str">
        <f t="shared" si="2"/>
        <v/>
      </c>
      <c r="R8" s="21" t="str">
        <f t="shared" si="3"/>
        <v/>
      </c>
      <c r="S8" s="31"/>
    </row>
    <row r="9" spans="1:19" x14ac:dyDescent="0.25">
      <c r="A9" s="22"/>
      <c r="B9" s="23" t="s">
        <v>12</v>
      </c>
      <c r="C9" s="24" t="s">
        <v>41</v>
      </c>
      <c r="D9" s="25"/>
      <c r="E9" s="26"/>
      <c r="F9" s="25"/>
      <c r="G9" s="27"/>
      <c r="H9" s="27"/>
      <c r="I9" s="28"/>
      <c r="J9" s="28"/>
      <c r="K9" s="29"/>
      <c r="L9" s="29"/>
      <c r="M9" s="30"/>
      <c r="N9" s="30"/>
      <c r="O9" s="21" t="str">
        <f t="shared" si="0"/>
        <v/>
      </c>
      <c r="P9" s="21" t="str">
        <f t="shared" si="1"/>
        <v/>
      </c>
      <c r="Q9" s="21" t="str">
        <f t="shared" si="2"/>
        <v/>
      </c>
      <c r="R9" s="21" t="str">
        <f t="shared" si="3"/>
        <v/>
      </c>
      <c r="S9" s="31"/>
    </row>
    <row r="10" spans="1:19" x14ac:dyDescent="0.25">
      <c r="A10" s="32"/>
      <c r="B10" s="14" t="s">
        <v>9</v>
      </c>
      <c r="C10" s="31" t="s">
        <v>39</v>
      </c>
      <c r="D10" s="33"/>
      <c r="E10" s="26"/>
      <c r="F10" s="33"/>
      <c r="G10" s="27"/>
      <c r="H10" s="27"/>
      <c r="I10" s="28"/>
      <c r="J10" s="28"/>
      <c r="K10" s="29"/>
      <c r="L10" s="29"/>
      <c r="M10" s="30"/>
      <c r="N10" s="30"/>
      <c r="O10" s="21" t="str">
        <f t="shared" si="0"/>
        <v/>
      </c>
      <c r="P10" s="21" t="str">
        <f t="shared" si="1"/>
        <v/>
      </c>
      <c r="Q10" s="21" t="str">
        <f t="shared" si="2"/>
        <v/>
      </c>
      <c r="R10" s="21" t="str">
        <f t="shared" si="3"/>
        <v/>
      </c>
      <c r="S10" s="31"/>
    </row>
    <row r="11" spans="1:19" x14ac:dyDescent="0.25">
      <c r="A11" s="32"/>
      <c r="B11" s="14" t="s">
        <v>10</v>
      </c>
      <c r="C11" s="31" t="s">
        <v>40</v>
      </c>
      <c r="D11" s="33"/>
      <c r="E11" s="26"/>
      <c r="F11" s="33"/>
      <c r="G11" s="27"/>
      <c r="H11" s="27"/>
      <c r="I11" s="28"/>
      <c r="J11" s="28"/>
      <c r="K11" s="29"/>
      <c r="L11" s="29"/>
      <c r="M11" s="30"/>
      <c r="N11" s="30"/>
      <c r="O11" s="21" t="str">
        <f t="shared" si="0"/>
        <v/>
      </c>
      <c r="P11" s="21" t="str">
        <f t="shared" si="1"/>
        <v/>
      </c>
      <c r="Q11" s="21" t="str">
        <f t="shared" si="2"/>
        <v/>
      </c>
      <c r="R11" s="21" t="str">
        <f t="shared" si="3"/>
        <v/>
      </c>
      <c r="S11" s="31"/>
    </row>
    <row r="12" spans="1:19" x14ac:dyDescent="0.25">
      <c r="A12" s="32"/>
      <c r="B12" s="14" t="s">
        <v>11</v>
      </c>
      <c r="C12" s="31" t="s">
        <v>41</v>
      </c>
      <c r="D12" s="33"/>
      <c r="E12" s="26"/>
      <c r="F12" s="33"/>
      <c r="G12" s="27"/>
      <c r="H12" s="27"/>
      <c r="I12" s="28"/>
      <c r="J12" s="28"/>
      <c r="K12" s="29"/>
      <c r="L12" s="29"/>
      <c r="M12" s="30"/>
      <c r="N12" s="30"/>
      <c r="O12" s="21" t="str">
        <f t="shared" si="0"/>
        <v/>
      </c>
      <c r="P12" s="21" t="str">
        <f t="shared" si="1"/>
        <v/>
      </c>
      <c r="Q12" s="21" t="str">
        <f t="shared" si="2"/>
        <v/>
      </c>
      <c r="R12" s="21" t="str">
        <f t="shared" si="3"/>
        <v/>
      </c>
      <c r="S12" s="31"/>
    </row>
    <row r="13" spans="1:19" x14ac:dyDescent="0.25">
      <c r="A13" s="32"/>
      <c r="B13" s="14" t="s">
        <v>12</v>
      </c>
      <c r="C13" s="31" t="s">
        <v>41</v>
      </c>
      <c r="D13" s="33"/>
      <c r="E13" s="26"/>
      <c r="F13" s="33"/>
      <c r="G13" s="27"/>
      <c r="H13" s="27"/>
      <c r="I13" s="28"/>
      <c r="J13" s="28"/>
      <c r="K13" s="29"/>
      <c r="L13" s="29"/>
      <c r="M13" s="30"/>
      <c r="N13" s="30"/>
      <c r="O13" s="21" t="str">
        <f t="shared" si="0"/>
        <v/>
      </c>
      <c r="P13" s="21" t="str">
        <f t="shared" si="1"/>
        <v/>
      </c>
      <c r="Q13" s="21" t="str">
        <f t="shared" si="2"/>
        <v/>
      </c>
      <c r="R13" s="21" t="str">
        <f t="shared" si="3"/>
        <v/>
      </c>
      <c r="S13" s="31"/>
    </row>
    <row r="14" spans="1:19" x14ac:dyDescent="0.25">
      <c r="A14" s="22"/>
      <c r="B14" s="23" t="s">
        <v>9</v>
      </c>
      <c r="C14" s="24" t="s">
        <v>39</v>
      </c>
      <c r="D14" s="25"/>
      <c r="E14" s="26"/>
      <c r="F14" s="25"/>
      <c r="G14" s="27"/>
      <c r="H14" s="27"/>
      <c r="I14" s="28"/>
      <c r="J14" s="28"/>
      <c r="K14" s="29"/>
      <c r="L14" s="29"/>
      <c r="M14" s="30"/>
      <c r="N14" s="30"/>
      <c r="O14" s="21" t="str">
        <f t="shared" si="0"/>
        <v/>
      </c>
      <c r="P14" s="21" t="str">
        <f t="shared" si="1"/>
        <v/>
      </c>
      <c r="Q14" s="21" t="str">
        <f t="shared" si="2"/>
        <v/>
      </c>
      <c r="R14" s="21" t="str">
        <f t="shared" si="3"/>
        <v/>
      </c>
      <c r="S14" s="31"/>
    </row>
    <row r="15" spans="1:19" x14ac:dyDescent="0.25">
      <c r="A15" s="22"/>
      <c r="B15" s="23" t="s">
        <v>10</v>
      </c>
      <c r="C15" s="24" t="s">
        <v>40</v>
      </c>
      <c r="D15" s="25"/>
      <c r="E15" s="26"/>
      <c r="F15" s="25"/>
      <c r="G15" s="27"/>
      <c r="H15" s="27"/>
      <c r="I15" s="28"/>
      <c r="J15" s="28"/>
      <c r="K15" s="29"/>
      <c r="L15" s="29"/>
      <c r="M15" s="30"/>
      <c r="N15" s="30"/>
      <c r="O15" s="21" t="str">
        <f t="shared" si="0"/>
        <v/>
      </c>
      <c r="P15" s="21" t="str">
        <f t="shared" si="1"/>
        <v/>
      </c>
      <c r="Q15" s="21" t="str">
        <f t="shared" si="2"/>
        <v/>
      </c>
      <c r="R15" s="21" t="str">
        <f t="shared" si="3"/>
        <v/>
      </c>
      <c r="S15" s="31"/>
    </row>
    <row r="16" spans="1:19" x14ac:dyDescent="0.25">
      <c r="A16" s="22"/>
      <c r="B16" s="23" t="s">
        <v>11</v>
      </c>
      <c r="C16" s="24" t="s">
        <v>41</v>
      </c>
      <c r="D16" s="25"/>
      <c r="E16" s="26"/>
      <c r="F16" s="25"/>
      <c r="G16" s="27"/>
      <c r="H16" s="27"/>
      <c r="I16" s="28"/>
      <c r="J16" s="28"/>
      <c r="K16" s="29"/>
      <c r="L16" s="29"/>
      <c r="M16" s="30"/>
      <c r="N16" s="30"/>
      <c r="O16" s="21" t="str">
        <f t="shared" si="0"/>
        <v/>
      </c>
      <c r="P16" s="21" t="str">
        <f t="shared" si="1"/>
        <v/>
      </c>
      <c r="Q16" s="21" t="str">
        <f t="shared" si="2"/>
        <v/>
      </c>
      <c r="R16" s="21" t="str">
        <f t="shared" si="3"/>
        <v/>
      </c>
      <c r="S16" s="31"/>
    </row>
    <row r="17" spans="1:19" x14ac:dyDescent="0.25">
      <c r="A17" s="22"/>
      <c r="B17" s="23" t="s">
        <v>12</v>
      </c>
      <c r="C17" s="24" t="s">
        <v>41</v>
      </c>
      <c r="D17" s="25"/>
      <c r="E17" s="26"/>
      <c r="F17" s="25"/>
      <c r="G17" s="27"/>
      <c r="H17" s="27"/>
      <c r="I17" s="28"/>
      <c r="J17" s="28"/>
      <c r="K17" s="29"/>
      <c r="L17" s="29"/>
      <c r="M17" s="30"/>
      <c r="N17" s="30"/>
      <c r="O17" s="21" t="str">
        <f t="shared" si="0"/>
        <v/>
      </c>
      <c r="P17" s="21" t="str">
        <f t="shared" si="1"/>
        <v/>
      </c>
      <c r="Q17" s="21" t="str">
        <f t="shared" si="2"/>
        <v/>
      </c>
      <c r="R17" s="21" t="str">
        <f t="shared" si="3"/>
        <v/>
      </c>
      <c r="S17" s="31"/>
    </row>
    <row r="18" spans="1:19" x14ac:dyDescent="0.25">
      <c r="A18" s="32"/>
      <c r="B18" s="14" t="s">
        <v>9</v>
      </c>
      <c r="C18" s="31" t="s">
        <v>39</v>
      </c>
      <c r="D18" s="33"/>
      <c r="E18" s="26"/>
      <c r="F18" s="33"/>
      <c r="G18" s="27"/>
      <c r="H18" s="27"/>
      <c r="I18" s="28"/>
      <c r="J18" s="28"/>
      <c r="K18" s="29"/>
      <c r="L18" s="29"/>
      <c r="M18" s="30"/>
      <c r="N18" s="30"/>
      <c r="O18" s="21" t="str">
        <f t="shared" si="0"/>
        <v/>
      </c>
      <c r="P18" s="21" t="str">
        <f t="shared" si="1"/>
        <v/>
      </c>
      <c r="Q18" s="21" t="str">
        <f t="shared" si="2"/>
        <v/>
      </c>
      <c r="R18" s="21" t="str">
        <f t="shared" si="3"/>
        <v/>
      </c>
      <c r="S18" s="31"/>
    </row>
    <row r="19" spans="1:19" x14ac:dyDescent="0.25">
      <c r="A19" s="32"/>
      <c r="B19" s="14" t="s">
        <v>10</v>
      </c>
      <c r="C19" s="31" t="s">
        <v>40</v>
      </c>
      <c r="D19" s="33"/>
      <c r="E19" s="26"/>
      <c r="F19" s="33"/>
      <c r="G19" s="27"/>
      <c r="H19" s="27"/>
      <c r="I19" s="28"/>
      <c r="J19" s="28"/>
      <c r="K19" s="29"/>
      <c r="L19" s="29"/>
      <c r="M19" s="30"/>
      <c r="N19" s="30"/>
      <c r="O19" s="21" t="str">
        <f t="shared" si="0"/>
        <v/>
      </c>
      <c r="P19" s="21" t="str">
        <f t="shared" si="1"/>
        <v/>
      </c>
      <c r="Q19" s="21" t="str">
        <f t="shared" si="2"/>
        <v/>
      </c>
      <c r="R19" s="21" t="str">
        <f t="shared" si="3"/>
        <v/>
      </c>
      <c r="S19" s="31"/>
    </row>
    <row r="20" spans="1:19" x14ac:dyDescent="0.25">
      <c r="A20" s="32"/>
      <c r="B20" s="14" t="s">
        <v>11</v>
      </c>
      <c r="C20" s="31" t="s">
        <v>41</v>
      </c>
      <c r="D20" s="33"/>
      <c r="E20" s="26"/>
      <c r="F20" s="33"/>
      <c r="G20" s="27"/>
      <c r="H20" s="27"/>
      <c r="I20" s="28"/>
      <c r="J20" s="28"/>
      <c r="K20" s="29"/>
      <c r="L20" s="29"/>
      <c r="M20" s="30"/>
      <c r="N20" s="30"/>
      <c r="O20" s="21" t="str">
        <f t="shared" si="0"/>
        <v/>
      </c>
      <c r="P20" s="21" t="str">
        <f t="shared" si="1"/>
        <v/>
      </c>
      <c r="Q20" s="21" t="str">
        <f t="shared" si="2"/>
        <v/>
      </c>
      <c r="R20" s="21" t="str">
        <f t="shared" si="3"/>
        <v/>
      </c>
      <c r="S20" s="31"/>
    </row>
    <row r="21" spans="1:19" x14ac:dyDescent="0.25">
      <c r="A21" s="32"/>
      <c r="B21" s="14" t="s">
        <v>12</v>
      </c>
      <c r="C21" s="31" t="s">
        <v>41</v>
      </c>
      <c r="D21" s="33"/>
      <c r="E21" s="26"/>
      <c r="F21" s="33"/>
      <c r="G21" s="27"/>
      <c r="H21" s="27"/>
      <c r="I21" s="28"/>
      <c r="J21" s="28"/>
      <c r="K21" s="29"/>
      <c r="L21" s="29"/>
      <c r="M21" s="30"/>
      <c r="N21" s="30"/>
      <c r="O21" s="21" t="str">
        <f t="shared" si="0"/>
        <v/>
      </c>
      <c r="P21" s="21" t="str">
        <f t="shared" si="1"/>
        <v/>
      </c>
      <c r="Q21" s="21" t="str">
        <f t="shared" si="2"/>
        <v/>
      </c>
      <c r="R21" s="21" t="str">
        <f t="shared" si="3"/>
        <v/>
      </c>
      <c r="S21" s="31"/>
    </row>
    <row r="22" spans="1:19" x14ac:dyDescent="0.25">
      <c r="A22" s="22"/>
      <c r="B22" s="23" t="s">
        <v>9</v>
      </c>
      <c r="C22" s="24" t="s">
        <v>39</v>
      </c>
      <c r="D22" s="25"/>
      <c r="E22" s="26"/>
      <c r="F22" s="25"/>
      <c r="G22" s="27"/>
      <c r="H22" s="27"/>
      <c r="I22" s="28"/>
      <c r="J22" s="28"/>
      <c r="K22" s="29"/>
      <c r="L22" s="29"/>
      <c r="M22" s="30"/>
      <c r="N22" s="30"/>
      <c r="O22" s="21" t="str">
        <f t="shared" si="0"/>
        <v/>
      </c>
      <c r="P22" s="21" t="str">
        <f t="shared" si="1"/>
        <v/>
      </c>
      <c r="Q22" s="21" t="str">
        <f t="shared" si="2"/>
        <v/>
      </c>
      <c r="R22" s="21" t="str">
        <f t="shared" si="3"/>
        <v/>
      </c>
      <c r="S22" s="31"/>
    </row>
    <row r="23" spans="1:19" x14ac:dyDescent="0.25">
      <c r="A23" s="22"/>
      <c r="B23" s="23" t="s">
        <v>10</v>
      </c>
      <c r="C23" s="24" t="s">
        <v>40</v>
      </c>
      <c r="D23" s="25"/>
      <c r="E23" s="26"/>
      <c r="F23" s="25"/>
      <c r="G23" s="27"/>
      <c r="H23" s="27"/>
      <c r="I23" s="28"/>
      <c r="J23" s="28"/>
      <c r="K23" s="29"/>
      <c r="L23" s="29"/>
      <c r="M23" s="30"/>
      <c r="N23" s="30"/>
      <c r="O23" s="21" t="str">
        <f t="shared" si="0"/>
        <v/>
      </c>
      <c r="P23" s="21" t="str">
        <f t="shared" si="1"/>
        <v/>
      </c>
      <c r="Q23" s="21" t="str">
        <f t="shared" si="2"/>
        <v/>
      </c>
      <c r="R23" s="21" t="str">
        <f t="shared" si="3"/>
        <v/>
      </c>
      <c r="S23" s="31"/>
    </row>
    <row r="24" spans="1:19" x14ac:dyDescent="0.25">
      <c r="A24" s="22"/>
      <c r="B24" s="23" t="s">
        <v>11</v>
      </c>
      <c r="C24" s="24" t="s">
        <v>41</v>
      </c>
      <c r="D24" s="25"/>
      <c r="E24" s="26"/>
      <c r="F24" s="25"/>
      <c r="G24" s="27"/>
      <c r="H24" s="27"/>
      <c r="I24" s="28"/>
      <c r="J24" s="28"/>
      <c r="K24" s="29"/>
      <c r="L24" s="29"/>
      <c r="M24" s="30"/>
      <c r="N24" s="30"/>
      <c r="O24" s="21" t="str">
        <f t="shared" si="0"/>
        <v/>
      </c>
      <c r="P24" s="21" t="str">
        <f t="shared" si="1"/>
        <v/>
      </c>
      <c r="Q24" s="21" t="str">
        <f t="shared" si="2"/>
        <v/>
      </c>
      <c r="R24" s="21" t="str">
        <f t="shared" si="3"/>
        <v/>
      </c>
      <c r="S24" s="31"/>
    </row>
    <row r="25" spans="1:19" x14ac:dyDescent="0.25">
      <c r="A25" s="22"/>
      <c r="B25" s="23" t="s">
        <v>12</v>
      </c>
      <c r="C25" s="24" t="s">
        <v>41</v>
      </c>
      <c r="D25" s="25"/>
      <c r="E25" s="26"/>
      <c r="F25" s="25"/>
      <c r="G25" s="27"/>
      <c r="H25" s="27"/>
      <c r="I25" s="28"/>
      <c r="J25" s="28"/>
      <c r="K25" s="29"/>
      <c r="L25" s="29"/>
      <c r="M25" s="30"/>
      <c r="N25" s="30"/>
      <c r="O25" s="21" t="str">
        <f t="shared" si="0"/>
        <v/>
      </c>
      <c r="P25" s="21" t="str">
        <f t="shared" si="1"/>
        <v/>
      </c>
      <c r="Q25" s="21" t="str">
        <f t="shared" si="2"/>
        <v/>
      </c>
      <c r="R25" s="21" t="str">
        <f t="shared" si="3"/>
        <v/>
      </c>
      <c r="S25" s="31"/>
    </row>
    <row r="26" spans="1:19" x14ac:dyDescent="0.25">
      <c r="A26" s="32"/>
      <c r="B26" s="14" t="s">
        <v>9</v>
      </c>
      <c r="C26" s="31" t="s">
        <v>39</v>
      </c>
      <c r="D26" s="33"/>
      <c r="E26" s="26"/>
      <c r="F26" s="33"/>
      <c r="G26" s="27"/>
      <c r="H26" s="27"/>
      <c r="I26" s="28"/>
      <c r="J26" s="28"/>
      <c r="K26" s="29"/>
      <c r="L26" s="29"/>
      <c r="M26" s="30"/>
      <c r="N26" s="30"/>
      <c r="O26" s="21" t="str">
        <f t="shared" si="0"/>
        <v/>
      </c>
      <c r="P26" s="21" t="str">
        <f t="shared" si="1"/>
        <v/>
      </c>
      <c r="Q26" s="21" t="str">
        <f t="shared" si="2"/>
        <v/>
      </c>
      <c r="R26" s="21" t="str">
        <f t="shared" si="3"/>
        <v/>
      </c>
      <c r="S26" s="31"/>
    </row>
    <row r="27" spans="1:19" x14ac:dyDescent="0.25">
      <c r="A27" s="32"/>
      <c r="B27" s="14" t="s">
        <v>10</v>
      </c>
      <c r="C27" s="31" t="s">
        <v>40</v>
      </c>
      <c r="D27" s="33"/>
      <c r="E27" s="26"/>
      <c r="F27" s="33"/>
      <c r="G27" s="27"/>
      <c r="H27" s="27"/>
      <c r="I27" s="28"/>
      <c r="J27" s="28"/>
      <c r="K27" s="29"/>
      <c r="L27" s="29"/>
      <c r="M27" s="30"/>
      <c r="N27" s="30"/>
      <c r="O27" s="21" t="str">
        <f t="shared" si="0"/>
        <v/>
      </c>
      <c r="P27" s="21" t="str">
        <f t="shared" si="1"/>
        <v/>
      </c>
      <c r="Q27" s="21" t="str">
        <f t="shared" si="2"/>
        <v/>
      </c>
      <c r="R27" s="21" t="str">
        <f t="shared" si="3"/>
        <v/>
      </c>
      <c r="S27" s="31"/>
    </row>
    <row r="28" spans="1:19" x14ac:dyDescent="0.25">
      <c r="A28" s="32"/>
      <c r="B28" s="14" t="s">
        <v>11</v>
      </c>
      <c r="C28" s="31" t="s">
        <v>41</v>
      </c>
      <c r="D28" s="33"/>
      <c r="E28" s="26"/>
      <c r="F28" s="33"/>
      <c r="G28" s="27"/>
      <c r="H28" s="27"/>
      <c r="I28" s="28"/>
      <c r="J28" s="28"/>
      <c r="K28" s="29"/>
      <c r="L28" s="29"/>
      <c r="M28" s="30"/>
      <c r="N28" s="30"/>
      <c r="O28" s="21" t="str">
        <f t="shared" si="0"/>
        <v/>
      </c>
      <c r="P28" s="21" t="str">
        <f t="shared" si="1"/>
        <v/>
      </c>
      <c r="Q28" s="21" t="str">
        <f t="shared" si="2"/>
        <v/>
      </c>
      <c r="R28" s="21" t="str">
        <f t="shared" si="3"/>
        <v/>
      </c>
      <c r="S28" s="31"/>
    </row>
    <row r="29" spans="1:19" x14ac:dyDescent="0.25">
      <c r="A29" s="32"/>
      <c r="B29" s="14" t="s">
        <v>12</v>
      </c>
      <c r="C29" s="31" t="s">
        <v>41</v>
      </c>
      <c r="D29" s="33"/>
      <c r="E29" s="26"/>
      <c r="F29" s="33"/>
      <c r="G29" s="27"/>
      <c r="H29" s="27"/>
      <c r="I29" s="28"/>
      <c r="J29" s="28"/>
      <c r="K29" s="29"/>
      <c r="L29" s="29"/>
      <c r="M29" s="30"/>
      <c r="N29" s="30"/>
      <c r="O29" s="21" t="str">
        <f t="shared" si="0"/>
        <v/>
      </c>
      <c r="P29" s="21" t="str">
        <f t="shared" si="1"/>
        <v/>
      </c>
      <c r="Q29" s="21" t="str">
        <f t="shared" si="2"/>
        <v/>
      </c>
      <c r="R29" s="21" t="str">
        <f t="shared" si="3"/>
        <v/>
      </c>
      <c r="S29" s="31"/>
    </row>
    <row r="30" spans="1:19" x14ac:dyDescent="0.25">
      <c r="A30" s="22"/>
      <c r="B30" s="23" t="s">
        <v>9</v>
      </c>
      <c r="C30" s="24" t="s">
        <v>39</v>
      </c>
      <c r="D30" s="25"/>
      <c r="E30" s="26"/>
      <c r="F30" s="25"/>
      <c r="G30" s="27"/>
      <c r="H30" s="27"/>
      <c r="I30" s="28"/>
      <c r="J30" s="28"/>
      <c r="K30" s="29"/>
      <c r="L30" s="29"/>
      <c r="M30" s="30"/>
      <c r="N30" s="30"/>
      <c r="O30" s="21" t="str">
        <f t="shared" si="0"/>
        <v/>
      </c>
      <c r="P30" s="21" t="str">
        <f t="shared" si="1"/>
        <v/>
      </c>
      <c r="Q30" s="21" t="str">
        <f t="shared" si="2"/>
        <v/>
      </c>
      <c r="R30" s="21" t="str">
        <f t="shared" si="3"/>
        <v/>
      </c>
      <c r="S30" s="31"/>
    </row>
    <row r="31" spans="1:19" x14ac:dyDescent="0.25">
      <c r="A31" s="22"/>
      <c r="B31" s="23" t="s">
        <v>10</v>
      </c>
      <c r="C31" s="24" t="s">
        <v>40</v>
      </c>
      <c r="D31" s="25"/>
      <c r="E31" s="26"/>
      <c r="F31" s="25"/>
      <c r="G31" s="27"/>
      <c r="H31" s="27"/>
      <c r="I31" s="28"/>
      <c r="J31" s="28"/>
      <c r="K31" s="29"/>
      <c r="L31" s="29"/>
      <c r="M31" s="30"/>
      <c r="N31" s="30"/>
      <c r="O31" s="21" t="str">
        <f t="shared" si="0"/>
        <v/>
      </c>
      <c r="P31" s="21" t="str">
        <f t="shared" si="1"/>
        <v/>
      </c>
      <c r="Q31" s="21" t="str">
        <f t="shared" si="2"/>
        <v/>
      </c>
      <c r="R31" s="21" t="str">
        <f t="shared" si="3"/>
        <v/>
      </c>
      <c r="S31" s="31"/>
    </row>
    <row r="32" spans="1:19" x14ac:dyDescent="0.25">
      <c r="A32" s="22"/>
      <c r="B32" s="23" t="s">
        <v>11</v>
      </c>
      <c r="C32" s="24" t="s">
        <v>41</v>
      </c>
      <c r="D32" s="25"/>
      <c r="E32" s="26"/>
      <c r="F32" s="25"/>
      <c r="G32" s="27"/>
      <c r="H32" s="27"/>
      <c r="I32" s="28"/>
      <c r="J32" s="28"/>
      <c r="K32" s="29"/>
      <c r="L32" s="29"/>
      <c r="M32" s="30"/>
      <c r="N32" s="30"/>
      <c r="O32" s="21" t="str">
        <f t="shared" si="0"/>
        <v/>
      </c>
      <c r="P32" s="21" t="str">
        <f t="shared" si="1"/>
        <v/>
      </c>
      <c r="Q32" s="21" t="str">
        <f t="shared" si="2"/>
        <v/>
      </c>
      <c r="R32" s="21" t="str">
        <f t="shared" si="3"/>
        <v/>
      </c>
      <c r="S32" s="31"/>
    </row>
    <row r="33" spans="1:19" x14ac:dyDescent="0.25">
      <c r="A33" s="22"/>
      <c r="B33" s="23" t="s">
        <v>12</v>
      </c>
      <c r="C33" s="24" t="s">
        <v>41</v>
      </c>
      <c r="D33" s="25"/>
      <c r="E33" s="26"/>
      <c r="F33" s="25"/>
      <c r="G33" s="27"/>
      <c r="H33" s="27"/>
      <c r="I33" s="28"/>
      <c r="J33" s="28"/>
      <c r="K33" s="29"/>
      <c r="L33" s="29"/>
      <c r="M33" s="30"/>
      <c r="N33" s="30"/>
      <c r="O33" s="21" t="str">
        <f t="shared" si="0"/>
        <v/>
      </c>
      <c r="P33" s="21" t="str">
        <f t="shared" si="1"/>
        <v/>
      </c>
      <c r="Q33" s="21" t="str">
        <f t="shared" si="2"/>
        <v/>
      </c>
      <c r="R33" s="21" t="str">
        <f t="shared" si="3"/>
        <v/>
      </c>
      <c r="S33" s="31"/>
    </row>
    <row r="34" spans="1:19" x14ac:dyDescent="0.25">
      <c r="A34" s="32"/>
      <c r="B34" s="14" t="s">
        <v>9</v>
      </c>
      <c r="C34" s="31" t="s">
        <v>39</v>
      </c>
      <c r="D34" s="33"/>
      <c r="E34" s="26"/>
      <c r="F34" s="33"/>
      <c r="G34" s="27"/>
      <c r="H34" s="27"/>
      <c r="I34" s="28"/>
      <c r="J34" s="28"/>
      <c r="K34" s="29"/>
      <c r="L34" s="29"/>
      <c r="M34" s="30"/>
      <c r="N34" s="30"/>
      <c r="O34" s="21" t="str">
        <f t="shared" si="0"/>
        <v/>
      </c>
      <c r="P34" s="21" t="str">
        <f t="shared" si="1"/>
        <v/>
      </c>
      <c r="Q34" s="21" t="str">
        <f t="shared" si="2"/>
        <v/>
      </c>
      <c r="R34" s="21" t="str">
        <f t="shared" si="3"/>
        <v/>
      </c>
      <c r="S34" s="31"/>
    </row>
    <row r="35" spans="1:19" x14ac:dyDescent="0.25">
      <c r="A35" s="32"/>
      <c r="B35" s="14" t="s">
        <v>10</v>
      </c>
      <c r="C35" s="31" t="s">
        <v>40</v>
      </c>
      <c r="D35" s="33"/>
      <c r="E35" s="26"/>
      <c r="F35" s="33"/>
      <c r="G35" s="27"/>
      <c r="H35" s="27"/>
      <c r="I35" s="28"/>
      <c r="J35" s="28"/>
      <c r="K35" s="29"/>
      <c r="L35" s="29"/>
      <c r="M35" s="30"/>
      <c r="N35" s="30"/>
      <c r="O35" s="21" t="str">
        <f t="shared" si="0"/>
        <v/>
      </c>
      <c r="P35" s="21" t="str">
        <f t="shared" si="1"/>
        <v/>
      </c>
      <c r="Q35" s="21" t="str">
        <f t="shared" si="2"/>
        <v/>
      </c>
      <c r="R35" s="21" t="str">
        <f t="shared" si="3"/>
        <v/>
      </c>
      <c r="S35" s="31"/>
    </row>
    <row r="36" spans="1:19" x14ac:dyDescent="0.25">
      <c r="A36" s="32"/>
      <c r="B36" s="14" t="s">
        <v>11</v>
      </c>
      <c r="C36" s="31" t="s">
        <v>41</v>
      </c>
      <c r="D36" s="33"/>
      <c r="E36" s="26"/>
      <c r="F36" s="33"/>
      <c r="G36" s="27"/>
      <c r="H36" s="27"/>
      <c r="I36" s="28"/>
      <c r="J36" s="28"/>
      <c r="K36" s="29"/>
      <c r="L36" s="29"/>
      <c r="M36" s="30"/>
      <c r="N36" s="30"/>
      <c r="O36" s="21" t="str">
        <f t="shared" si="0"/>
        <v/>
      </c>
      <c r="P36" s="21" t="str">
        <f t="shared" si="1"/>
        <v/>
      </c>
      <c r="Q36" s="21" t="str">
        <f t="shared" si="2"/>
        <v/>
      </c>
      <c r="R36" s="21" t="str">
        <f t="shared" si="3"/>
        <v/>
      </c>
      <c r="S36" s="31"/>
    </row>
    <row r="37" spans="1:19" x14ac:dyDescent="0.25">
      <c r="A37" s="32"/>
      <c r="B37" s="14" t="s">
        <v>12</v>
      </c>
      <c r="C37" s="31" t="s">
        <v>41</v>
      </c>
      <c r="D37" s="33"/>
      <c r="E37" s="26"/>
      <c r="F37" s="33"/>
      <c r="G37" s="27"/>
      <c r="H37" s="27"/>
      <c r="I37" s="28"/>
      <c r="J37" s="28"/>
      <c r="K37" s="29"/>
      <c r="L37" s="29"/>
      <c r="M37" s="30"/>
      <c r="N37" s="30"/>
      <c r="O37" s="21" t="str">
        <f t="shared" si="0"/>
        <v/>
      </c>
      <c r="P37" s="21" t="str">
        <f t="shared" si="1"/>
        <v/>
      </c>
      <c r="Q37" s="21" t="str">
        <f t="shared" si="2"/>
        <v/>
      </c>
      <c r="R37" s="21" t="str">
        <f t="shared" si="3"/>
        <v/>
      </c>
      <c r="S37" s="31"/>
    </row>
    <row r="38" spans="1:19" x14ac:dyDescent="0.25">
      <c r="A38" s="22"/>
      <c r="B38" s="23" t="s">
        <v>9</v>
      </c>
      <c r="C38" s="24" t="s">
        <v>39</v>
      </c>
      <c r="D38" s="25"/>
      <c r="E38" s="26"/>
      <c r="F38" s="25"/>
      <c r="G38" s="27"/>
      <c r="H38" s="27"/>
      <c r="I38" s="28"/>
      <c r="J38" s="28"/>
      <c r="K38" s="29"/>
      <c r="L38" s="29"/>
      <c r="M38" s="30"/>
      <c r="N38" s="30"/>
      <c r="O38" s="21" t="str">
        <f t="shared" si="0"/>
        <v/>
      </c>
      <c r="P38" s="21" t="str">
        <f t="shared" si="1"/>
        <v/>
      </c>
      <c r="Q38" s="21" t="str">
        <f t="shared" si="2"/>
        <v/>
      </c>
      <c r="R38" s="21" t="str">
        <f t="shared" si="3"/>
        <v/>
      </c>
      <c r="S38" s="31"/>
    </row>
    <row r="39" spans="1:19" x14ac:dyDescent="0.25">
      <c r="A39" s="22"/>
      <c r="B39" s="23" t="s">
        <v>10</v>
      </c>
      <c r="C39" s="24" t="s">
        <v>40</v>
      </c>
      <c r="D39" s="25"/>
      <c r="E39" s="26"/>
      <c r="F39" s="25"/>
      <c r="G39" s="27"/>
      <c r="H39" s="27"/>
      <c r="I39" s="28"/>
      <c r="J39" s="28"/>
      <c r="K39" s="29"/>
      <c r="L39" s="29"/>
      <c r="M39" s="30"/>
      <c r="N39" s="30"/>
      <c r="O39" s="21" t="str">
        <f t="shared" si="0"/>
        <v/>
      </c>
      <c r="P39" s="21" t="str">
        <f t="shared" si="1"/>
        <v/>
      </c>
      <c r="Q39" s="21" t="str">
        <f t="shared" si="2"/>
        <v/>
      </c>
      <c r="R39" s="21" t="str">
        <f t="shared" si="3"/>
        <v/>
      </c>
      <c r="S39" s="31"/>
    </row>
    <row r="40" spans="1:19" x14ac:dyDescent="0.25">
      <c r="A40" s="22"/>
      <c r="B40" s="23" t="s">
        <v>11</v>
      </c>
      <c r="C40" s="24" t="s">
        <v>41</v>
      </c>
      <c r="D40" s="25"/>
      <c r="E40" s="26"/>
      <c r="F40" s="25"/>
      <c r="G40" s="27"/>
      <c r="H40" s="27"/>
      <c r="I40" s="28"/>
      <c r="J40" s="28"/>
      <c r="K40" s="29"/>
      <c r="L40" s="29"/>
      <c r="M40" s="30"/>
      <c r="N40" s="30"/>
      <c r="O40" s="21" t="str">
        <f t="shared" si="0"/>
        <v/>
      </c>
      <c r="P40" s="21" t="str">
        <f t="shared" si="1"/>
        <v/>
      </c>
      <c r="Q40" s="21" t="str">
        <f t="shared" si="2"/>
        <v/>
      </c>
      <c r="R40" s="21" t="str">
        <f t="shared" si="3"/>
        <v/>
      </c>
      <c r="S40" s="31"/>
    </row>
    <row r="41" spans="1:19" x14ac:dyDescent="0.25">
      <c r="A41" s="22"/>
      <c r="B41" s="23" t="s">
        <v>12</v>
      </c>
      <c r="C41" s="24" t="s">
        <v>41</v>
      </c>
      <c r="D41" s="25"/>
      <c r="E41" s="26"/>
      <c r="F41" s="25"/>
      <c r="G41" s="27"/>
      <c r="H41" s="27"/>
      <c r="I41" s="28"/>
      <c r="J41" s="28"/>
      <c r="K41" s="29"/>
      <c r="L41" s="29"/>
      <c r="M41" s="30"/>
      <c r="N41" s="30"/>
      <c r="O41" s="21" t="str">
        <f t="shared" si="0"/>
        <v/>
      </c>
      <c r="P41" s="21" t="str">
        <f t="shared" si="1"/>
        <v/>
      </c>
      <c r="Q41" s="21" t="str">
        <f t="shared" si="2"/>
        <v/>
      </c>
      <c r="R41" s="21" t="str">
        <f t="shared" si="3"/>
        <v/>
      </c>
      <c r="S41" s="31"/>
    </row>
    <row r="42" spans="1:19" x14ac:dyDescent="0.25">
      <c r="A42" s="32"/>
      <c r="B42" s="14" t="s">
        <v>9</v>
      </c>
      <c r="C42" s="31" t="s">
        <v>39</v>
      </c>
      <c r="D42" s="33"/>
      <c r="E42" s="26"/>
      <c r="F42" s="33"/>
      <c r="G42" s="27"/>
      <c r="H42" s="27"/>
      <c r="I42" s="28"/>
      <c r="J42" s="28"/>
      <c r="K42" s="29"/>
      <c r="L42" s="29"/>
      <c r="M42" s="30"/>
      <c r="N42" s="30"/>
      <c r="O42" s="21" t="str">
        <f t="shared" si="0"/>
        <v/>
      </c>
      <c r="P42" s="21" t="str">
        <f t="shared" si="1"/>
        <v/>
      </c>
      <c r="Q42" s="21" t="str">
        <f t="shared" si="2"/>
        <v/>
      </c>
      <c r="R42" s="21" t="str">
        <f t="shared" si="3"/>
        <v/>
      </c>
      <c r="S42" s="31"/>
    </row>
    <row r="43" spans="1:19" x14ac:dyDescent="0.25">
      <c r="A43" s="32"/>
      <c r="B43" s="14" t="s">
        <v>10</v>
      </c>
      <c r="C43" s="31" t="s">
        <v>40</v>
      </c>
      <c r="D43" s="33"/>
      <c r="E43" s="26"/>
      <c r="F43" s="33"/>
      <c r="G43" s="27"/>
      <c r="H43" s="27"/>
      <c r="I43" s="28"/>
      <c r="J43" s="28"/>
      <c r="K43" s="29"/>
      <c r="L43" s="29"/>
      <c r="M43" s="30"/>
      <c r="N43" s="30"/>
      <c r="O43" s="21" t="str">
        <f t="shared" si="0"/>
        <v/>
      </c>
      <c r="P43" s="21" t="str">
        <f t="shared" si="1"/>
        <v/>
      </c>
      <c r="Q43" s="21" t="str">
        <f t="shared" si="2"/>
        <v/>
      </c>
      <c r="R43" s="21" t="str">
        <f t="shared" si="3"/>
        <v/>
      </c>
      <c r="S43" s="31"/>
    </row>
    <row r="44" spans="1:19" x14ac:dyDescent="0.25">
      <c r="A44" s="32"/>
      <c r="B44" s="14" t="s">
        <v>11</v>
      </c>
      <c r="C44" s="31" t="s">
        <v>41</v>
      </c>
      <c r="D44" s="33"/>
      <c r="E44" s="26"/>
      <c r="F44" s="33"/>
      <c r="G44" s="27"/>
      <c r="H44" s="27"/>
      <c r="I44" s="28"/>
      <c r="J44" s="28"/>
      <c r="K44" s="29"/>
      <c r="L44" s="29"/>
      <c r="M44" s="30"/>
      <c r="N44" s="30"/>
      <c r="O44" s="21" t="str">
        <f t="shared" si="0"/>
        <v/>
      </c>
      <c r="P44" s="21" t="str">
        <f t="shared" si="1"/>
        <v/>
      </c>
      <c r="Q44" s="21" t="str">
        <f t="shared" si="2"/>
        <v/>
      </c>
      <c r="R44" s="21" t="str">
        <f t="shared" si="3"/>
        <v/>
      </c>
      <c r="S44" s="31"/>
    </row>
    <row r="45" spans="1:19" x14ac:dyDescent="0.25">
      <c r="A45" s="32"/>
      <c r="B45" s="14" t="s">
        <v>12</v>
      </c>
      <c r="C45" s="31" t="s">
        <v>41</v>
      </c>
      <c r="D45" s="33"/>
      <c r="E45" s="26"/>
      <c r="F45" s="33"/>
      <c r="G45" s="27"/>
      <c r="H45" s="27"/>
      <c r="I45" s="28"/>
      <c r="J45" s="28"/>
      <c r="K45" s="29"/>
      <c r="L45" s="29"/>
      <c r="M45" s="30"/>
      <c r="N45" s="30"/>
      <c r="O45" s="21" t="str">
        <f t="shared" si="0"/>
        <v/>
      </c>
      <c r="P45" s="21" t="str">
        <f t="shared" si="1"/>
        <v/>
      </c>
      <c r="Q45" s="21" t="str">
        <f t="shared" si="2"/>
        <v/>
      </c>
      <c r="R45" s="21" t="str">
        <f t="shared" si="3"/>
        <v/>
      </c>
      <c r="S45" s="31"/>
    </row>
    <row r="46" spans="1:19" x14ac:dyDescent="0.25">
      <c r="A46" s="22"/>
      <c r="B46" s="23" t="s">
        <v>9</v>
      </c>
      <c r="C46" s="24" t="s">
        <v>39</v>
      </c>
      <c r="D46" s="25"/>
      <c r="E46" s="26"/>
      <c r="F46" s="25"/>
      <c r="G46" s="27"/>
      <c r="H46" s="27"/>
      <c r="I46" s="28"/>
      <c r="J46" s="28"/>
      <c r="K46" s="29"/>
      <c r="L46" s="29"/>
      <c r="M46" s="30"/>
      <c r="N46" s="30"/>
      <c r="O46" s="21" t="str">
        <f t="shared" si="0"/>
        <v/>
      </c>
      <c r="P46" s="21" t="str">
        <f t="shared" si="1"/>
        <v/>
      </c>
      <c r="Q46" s="21" t="str">
        <f t="shared" si="2"/>
        <v/>
      </c>
      <c r="R46" s="21" t="str">
        <f t="shared" si="3"/>
        <v/>
      </c>
      <c r="S46" s="31"/>
    </row>
    <row r="47" spans="1:19" x14ac:dyDescent="0.25">
      <c r="A47" s="22"/>
      <c r="B47" s="23" t="s">
        <v>10</v>
      </c>
      <c r="C47" s="24" t="s">
        <v>40</v>
      </c>
      <c r="D47" s="25"/>
      <c r="E47" s="26"/>
      <c r="F47" s="25"/>
      <c r="G47" s="27"/>
      <c r="H47" s="27"/>
      <c r="I47" s="28"/>
      <c r="J47" s="28"/>
      <c r="K47" s="29"/>
      <c r="L47" s="29"/>
      <c r="M47" s="30"/>
      <c r="N47" s="30"/>
      <c r="O47" s="21" t="str">
        <f t="shared" si="0"/>
        <v/>
      </c>
      <c r="P47" s="21" t="str">
        <f t="shared" si="1"/>
        <v/>
      </c>
      <c r="Q47" s="21" t="str">
        <f t="shared" si="2"/>
        <v/>
      </c>
      <c r="R47" s="21" t="str">
        <f t="shared" si="3"/>
        <v/>
      </c>
      <c r="S47" s="31"/>
    </row>
    <row r="48" spans="1:19" x14ac:dyDescent="0.25">
      <c r="A48" s="22"/>
      <c r="B48" s="23" t="s">
        <v>11</v>
      </c>
      <c r="C48" s="24" t="s">
        <v>41</v>
      </c>
      <c r="D48" s="25"/>
      <c r="E48" s="26"/>
      <c r="F48" s="25"/>
      <c r="G48" s="27"/>
      <c r="H48" s="27"/>
      <c r="I48" s="28"/>
      <c r="J48" s="28"/>
      <c r="K48" s="29"/>
      <c r="L48" s="29"/>
      <c r="M48" s="30"/>
      <c r="N48" s="30"/>
      <c r="O48" s="21" t="str">
        <f t="shared" si="0"/>
        <v/>
      </c>
      <c r="P48" s="21" t="str">
        <f t="shared" si="1"/>
        <v/>
      </c>
      <c r="Q48" s="21" t="str">
        <f t="shared" si="2"/>
        <v/>
      </c>
      <c r="R48" s="21" t="str">
        <f t="shared" si="3"/>
        <v/>
      </c>
      <c r="S48" s="31"/>
    </row>
    <row r="49" spans="1:19" x14ac:dyDescent="0.25">
      <c r="A49" s="22"/>
      <c r="B49" s="23" t="s">
        <v>12</v>
      </c>
      <c r="C49" s="24" t="s">
        <v>41</v>
      </c>
      <c r="D49" s="25"/>
      <c r="E49" s="26"/>
      <c r="F49" s="25"/>
      <c r="G49" s="27"/>
      <c r="H49" s="27"/>
      <c r="I49" s="28"/>
      <c r="J49" s="28"/>
      <c r="K49" s="29"/>
      <c r="L49" s="29"/>
      <c r="M49" s="30"/>
      <c r="N49" s="30"/>
      <c r="O49" s="21" t="str">
        <f t="shared" si="0"/>
        <v/>
      </c>
      <c r="P49" s="21" t="str">
        <f t="shared" si="1"/>
        <v/>
      </c>
      <c r="Q49" s="21" t="str">
        <f t="shared" si="2"/>
        <v/>
      </c>
      <c r="R49" s="21" t="str">
        <f t="shared" si="3"/>
        <v/>
      </c>
      <c r="S49" s="31"/>
    </row>
    <row r="50" spans="1:19" x14ac:dyDescent="0.25">
      <c r="A50" s="32"/>
      <c r="B50" s="14" t="s">
        <v>9</v>
      </c>
      <c r="C50" s="31" t="s">
        <v>39</v>
      </c>
      <c r="D50" s="33"/>
      <c r="E50" s="26"/>
      <c r="F50" s="33"/>
      <c r="G50" s="27"/>
      <c r="H50" s="27"/>
      <c r="I50" s="28"/>
      <c r="J50" s="28"/>
      <c r="K50" s="29"/>
      <c r="L50" s="29"/>
      <c r="M50" s="30"/>
      <c r="N50" s="30"/>
      <c r="O50" s="21" t="str">
        <f t="shared" si="0"/>
        <v/>
      </c>
      <c r="P50" s="21" t="str">
        <f t="shared" si="1"/>
        <v/>
      </c>
      <c r="Q50" s="21" t="str">
        <f t="shared" si="2"/>
        <v/>
      </c>
      <c r="R50" s="21" t="str">
        <f t="shared" si="3"/>
        <v/>
      </c>
      <c r="S50" s="31"/>
    </row>
    <row r="51" spans="1:19" x14ac:dyDescent="0.25">
      <c r="A51" s="32"/>
      <c r="B51" s="14" t="s">
        <v>10</v>
      </c>
      <c r="C51" s="31" t="s">
        <v>40</v>
      </c>
      <c r="D51" s="33"/>
      <c r="E51" s="26"/>
      <c r="F51" s="33"/>
      <c r="G51" s="27"/>
      <c r="H51" s="27"/>
      <c r="I51" s="28"/>
      <c r="J51" s="28"/>
      <c r="K51" s="29"/>
      <c r="L51" s="29"/>
      <c r="M51" s="30"/>
      <c r="N51" s="30"/>
      <c r="O51" s="21" t="str">
        <f t="shared" si="0"/>
        <v/>
      </c>
      <c r="P51" s="21" t="str">
        <f t="shared" si="1"/>
        <v/>
      </c>
      <c r="Q51" s="21" t="str">
        <f t="shared" si="2"/>
        <v/>
      </c>
      <c r="R51" s="21" t="str">
        <f t="shared" si="3"/>
        <v/>
      </c>
      <c r="S51" s="31"/>
    </row>
    <row r="52" spans="1:19" x14ac:dyDescent="0.25">
      <c r="A52" s="32"/>
      <c r="B52" s="14" t="s">
        <v>11</v>
      </c>
      <c r="C52" s="31" t="s">
        <v>41</v>
      </c>
      <c r="D52" s="33"/>
      <c r="E52" s="26"/>
      <c r="F52" s="33"/>
      <c r="G52" s="27"/>
      <c r="H52" s="27"/>
      <c r="I52" s="28"/>
      <c r="J52" s="28"/>
      <c r="K52" s="29"/>
      <c r="L52" s="29"/>
      <c r="M52" s="30"/>
      <c r="N52" s="30"/>
      <c r="O52" s="21" t="str">
        <f t="shared" si="0"/>
        <v/>
      </c>
      <c r="P52" s="21" t="str">
        <f t="shared" si="1"/>
        <v/>
      </c>
      <c r="Q52" s="21" t="str">
        <f t="shared" si="2"/>
        <v/>
      </c>
      <c r="R52" s="21" t="str">
        <f t="shared" si="3"/>
        <v/>
      </c>
      <c r="S52" s="31"/>
    </row>
    <row r="53" spans="1:19" x14ac:dyDescent="0.25">
      <c r="A53" s="32"/>
      <c r="B53" s="14" t="s">
        <v>12</v>
      </c>
      <c r="C53" s="31" t="s">
        <v>41</v>
      </c>
      <c r="D53" s="33"/>
      <c r="E53" s="26"/>
      <c r="F53" s="33"/>
      <c r="G53" s="27"/>
      <c r="H53" s="27"/>
      <c r="I53" s="28"/>
      <c r="J53" s="28"/>
      <c r="K53" s="29"/>
      <c r="L53" s="29"/>
      <c r="M53" s="30"/>
      <c r="N53" s="30"/>
      <c r="O53" s="21" t="str">
        <f t="shared" si="0"/>
        <v/>
      </c>
      <c r="P53" s="21" t="str">
        <f t="shared" si="1"/>
        <v/>
      </c>
      <c r="Q53" s="21" t="str">
        <f t="shared" si="2"/>
        <v/>
      </c>
      <c r="R53" s="21" t="str">
        <f t="shared" si="3"/>
        <v/>
      </c>
      <c r="S53" s="31"/>
    </row>
  </sheetData>
  <mergeCells count="8">
    <mergeCell ref="A1:S1"/>
    <mergeCell ref="A2:S2"/>
    <mergeCell ref="A4:F4"/>
    <mergeCell ref="G4:H4"/>
    <mergeCell ref="I4:J4"/>
    <mergeCell ref="K4:L4"/>
    <mergeCell ref="M4:N4"/>
    <mergeCell ref="O4:R4"/>
  </mergeCells>
  <conditionalFormatting sqref="O6:R53">
    <cfRule type="cellIs" dxfId="1" priority="2" operator="equal">
      <formula>1</formula>
    </cfRule>
    <cfRule type="cellIs" dxfId="0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Scoreboard</vt:lpstr>
      <vt:lpstr>Weekly Model Ranges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Quezada</cp:lastModifiedBy>
  <cp:revision>0</cp:revision>
  <dcterms:created xsi:type="dcterms:W3CDTF">2026-05-30T17:10:16Z</dcterms:created>
  <dcterms:modified xsi:type="dcterms:W3CDTF">2026-05-30T17:18:27Z</dcterms:modified>
  <dc:language>en-US</dc:language>
</cp:coreProperties>
</file>